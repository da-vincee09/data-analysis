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ENOVO\OneDrive\Desktop\Main Folder\Data Analyst Portfolio\Excel\"/>
    </mc:Choice>
  </mc:AlternateContent>
  <xr:revisionPtr revIDLastSave="0" documentId="13_ncr:1_{86FF436A-13E7-405C-8FC0-FA584E966478}" xr6:coauthVersionLast="47" xr6:coauthVersionMax="47" xr10:uidLastSave="{00000000-0000-0000-0000-000000000000}"/>
  <bookViews>
    <workbookView xWindow="-108" yWindow="-108" windowWidth="23256" windowHeight="12456" activeTab="4" xr2:uid="{6E782327-4E50-40CA-9976-5BB78D4DBF5F}"/>
  </bookViews>
  <sheets>
    <sheet name="RawData" sheetId="2" r:id="rId1"/>
    <sheet name="CleanedData" sheetId="1" r:id="rId2"/>
    <sheet name="Statistics" sheetId="3" r:id="rId3"/>
    <sheet name="PivotTables" sheetId="9" r:id="rId4"/>
    <sheet name="Dashboard" sheetId="5" r:id="rId5"/>
  </sheets>
  <definedNames>
    <definedName name="Slicer_Age_Group">#N/A</definedName>
    <definedName name="Slicer_Family_Group">#N/A</definedName>
    <definedName name="Slicer_Fare_Category">#N/A</definedName>
    <definedName name="Slicer_Passenger_Class">#N/A</definedName>
    <definedName name="Slicer_Sex">#N/A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5" l="1"/>
  <c r="Q3" i="5"/>
  <c r="N3" i="5"/>
  <c r="K3" i="5"/>
  <c r="H3" i="5"/>
  <c r="B3" i="5"/>
  <c r="F7" i="3"/>
  <c r="F6" i="3"/>
  <c r="F5" i="3"/>
  <c r="E4" i="3"/>
  <c r="F4" i="3"/>
  <c r="F3" i="3"/>
  <c r="E7" i="3"/>
  <c r="E6" i="3"/>
  <c r="E5" i="3"/>
  <c r="E3" i="3"/>
  <c r="B8" i="3"/>
  <c r="B11" i="3"/>
  <c r="B10" i="3"/>
  <c r="B9" i="3"/>
  <c r="B7" i="3"/>
  <c r="B6" i="3"/>
  <c r="B5" i="3"/>
  <c r="B4" i="3"/>
  <c r="B3" i="3"/>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N639" i="1"/>
  <c r="M2" i="1"/>
  <c r="N2"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F4D873-FDE8-4258-A450-8CDB1A153AC0}" keepAlive="1" name="Query - train-selected-columns" description="Connection to the 'train-selected-columns' query in the workbook." type="5" refreshedVersion="0" background="1">
    <dbPr connection="Provider=Microsoft.Mashup.OleDb.1;Data Source=$Workbook$;Location=train-selected-columns;Extended Properties=&quot;&quot;" command="SELECT * FROM [train-selected-columns]"/>
  </connection>
</connections>
</file>

<file path=xl/sharedStrings.xml><?xml version="1.0" encoding="utf-8"?>
<sst xmlns="http://schemas.openxmlformats.org/spreadsheetml/2006/main" count="5456" uniqueCount="1627">
  <si>
    <t>PassengerId</t>
  </si>
  <si>
    <t>Survived</t>
  </si>
  <si>
    <t>Pclass</t>
  </si>
  <si>
    <t>Name</t>
  </si>
  <si>
    <t>Sex</t>
  </si>
  <si>
    <t>Age</t>
  </si>
  <si>
    <t>SibSp</t>
  </si>
  <si>
    <t>Parch</t>
  </si>
  <si>
    <t>Ticket</t>
  </si>
  <si>
    <t>Fare</t>
  </si>
  <si>
    <t>Braund, Mr. Owen Harris</t>
  </si>
  <si>
    <t>male</t>
  </si>
  <si>
    <t>A/5 21171</t>
  </si>
  <si>
    <t>Cumings, Mrs. John Bradley (Florence Briggs Thayer)</t>
  </si>
  <si>
    <t>female</t>
  </si>
  <si>
    <t>PC 17599</t>
  </si>
  <si>
    <t>Heikkinen, Miss. Laina</t>
  </si>
  <si>
    <t>STON/O2. 3101282</t>
  </si>
  <si>
    <t>Futrelle, Mrs. Jacques Heath (Lily May Peel)</t>
  </si>
  <si>
    <t>113803</t>
  </si>
  <si>
    <t>Allen, Mr. William Henry</t>
  </si>
  <si>
    <t>373450</t>
  </si>
  <si>
    <t>Moran, Mr. James</t>
  </si>
  <si>
    <t>330877</t>
  </si>
  <si>
    <t>McCarthy, Mr. Timothy J</t>
  </si>
  <si>
    <t>17463</t>
  </si>
  <si>
    <t>Palsson, Master. Gosta Leonard</t>
  </si>
  <si>
    <t>349909</t>
  </si>
  <si>
    <t>Johnson, Mrs. Oscar W (Elisabeth Vilhelmina Berg)</t>
  </si>
  <si>
    <t>347742</t>
  </si>
  <si>
    <t>Nasser, Mrs. Nicholas (Adele Achem)</t>
  </si>
  <si>
    <t>237736</t>
  </si>
  <si>
    <t>Sandstrom, Miss. Marguerite Rut</t>
  </si>
  <si>
    <t>PP 9549</t>
  </si>
  <si>
    <t>Bonnell, Miss. Elizabeth</t>
  </si>
  <si>
    <t>113783</t>
  </si>
  <si>
    <t>Saundercock, Mr. William Henry</t>
  </si>
  <si>
    <t>A/5. 2151</t>
  </si>
  <si>
    <t>Andersson, Mr. Anders Johan</t>
  </si>
  <si>
    <t>347082</t>
  </si>
  <si>
    <t>Vestrom, Miss. Hulda Amanda Adolfina</t>
  </si>
  <si>
    <t>350406</t>
  </si>
  <si>
    <t xml:space="preserve">Hewlett, Mrs. (Mary D Kingcome) </t>
  </si>
  <si>
    <t>248706</t>
  </si>
  <si>
    <t>Rice, Master. Eugene</t>
  </si>
  <si>
    <t>382652</t>
  </si>
  <si>
    <t>Williams, Mr. Charles Eugene</t>
  </si>
  <si>
    <t>244373</t>
  </si>
  <si>
    <t>Vander Planke, Mrs. Julius (Emelia Maria Vandemoortele)</t>
  </si>
  <si>
    <t>345763</t>
  </si>
  <si>
    <t>Masselmani, Mrs. Fatima</t>
  </si>
  <si>
    <t>2649</t>
  </si>
  <si>
    <t>Fynney, Mr. Joseph J</t>
  </si>
  <si>
    <t>239865</t>
  </si>
  <si>
    <t>Beesley, Mr. Lawrence</t>
  </si>
  <si>
    <t>248698</t>
  </si>
  <si>
    <t>McGowan, Miss. Anna "Annie"</t>
  </si>
  <si>
    <t>330923</t>
  </si>
  <si>
    <t>Sloper, Mr. William Thompson</t>
  </si>
  <si>
    <t>113788</t>
  </si>
  <si>
    <t>Palsson, Miss. Torborg Danira</t>
  </si>
  <si>
    <t>Asplund, Mrs. Carl Oscar (Selma Augusta Emilia Johansson)</t>
  </si>
  <si>
    <t>347077</t>
  </si>
  <si>
    <t>Emir, Mr. Farred Chehab</t>
  </si>
  <si>
    <t>2631</t>
  </si>
  <si>
    <t>Fortune, Mr. Charles Alexander</t>
  </si>
  <si>
    <t>19950</t>
  </si>
  <si>
    <t>O'Dwyer, Miss. Ellen "Nellie"</t>
  </si>
  <si>
    <t>330959</t>
  </si>
  <si>
    <t>Todoroff, Mr. Lalio</t>
  </si>
  <si>
    <t>349216</t>
  </si>
  <si>
    <t>Uruchurtu, Don. Manuel E</t>
  </si>
  <si>
    <t>PC 17601</t>
  </si>
  <si>
    <t>Spencer, Mrs. William Augustus (Marie Eugenie)</t>
  </si>
  <si>
    <t>PC 17569</t>
  </si>
  <si>
    <t>Glynn, Miss. Mary Agatha</t>
  </si>
  <si>
    <t>335677</t>
  </si>
  <si>
    <t>Wheadon, Mr. Edward H</t>
  </si>
  <si>
    <t>C.A. 24579</t>
  </si>
  <si>
    <t>Meyer, Mr. Edgar Joseph</t>
  </si>
  <si>
    <t>PC 17604</t>
  </si>
  <si>
    <t>Holverson, Mr. Alexander Oskar</t>
  </si>
  <si>
    <t>113789</t>
  </si>
  <si>
    <t>Mamee, Mr. Hanna</t>
  </si>
  <si>
    <t>2677</t>
  </si>
  <si>
    <t>Cann, Mr. Ernest Charles</t>
  </si>
  <si>
    <t>A./5. 2152</t>
  </si>
  <si>
    <t>Vander Planke, Miss. Augusta Maria</t>
  </si>
  <si>
    <t>345764</t>
  </si>
  <si>
    <t>Nicola-Yarred, Miss. Jamila</t>
  </si>
  <si>
    <t>2651</t>
  </si>
  <si>
    <t>Ahlin, Mrs. Johan (Johanna Persdotter Larsson)</t>
  </si>
  <si>
    <t>7546</t>
  </si>
  <si>
    <t>Turpin, Mrs. William John Robert (Dorothy Ann Wonnacott)</t>
  </si>
  <si>
    <t>11668</t>
  </si>
  <si>
    <t>Kraeff, Mr. Theodor</t>
  </si>
  <si>
    <t>349253</t>
  </si>
  <si>
    <t>Laroche, Miss. Simonne Marie Anne Andree</t>
  </si>
  <si>
    <t>SC/Paris 2123</t>
  </si>
  <si>
    <t>Devaney, Miss. Margaret Delia</t>
  </si>
  <si>
    <t>330958</t>
  </si>
  <si>
    <t>Rogers, Mr. William John</t>
  </si>
  <si>
    <t>S.C./A.4. 23567</t>
  </si>
  <si>
    <t>Lennon, Mr. Denis</t>
  </si>
  <si>
    <t>370371</t>
  </si>
  <si>
    <t>O'Driscoll, Miss. Bridget</t>
  </si>
  <si>
    <t>14311</t>
  </si>
  <si>
    <t>Samaan, Mr. Youssef</t>
  </si>
  <si>
    <t>2662</t>
  </si>
  <si>
    <t>Arnold-Franchi, Mrs. Josef (Josefine Franchi)</t>
  </si>
  <si>
    <t>349237</t>
  </si>
  <si>
    <t>Panula, Master. Juha Niilo</t>
  </si>
  <si>
    <t>3101295</t>
  </si>
  <si>
    <t>Nosworthy, Mr. Richard Cater</t>
  </si>
  <si>
    <t>A/4. 39886</t>
  </si>
  <si>
    <t>Harper, Mrs. Henry Sleeper (Myna Haxtun)</t>
  </si>
  <si>
    <t>PC 17572</t>
  </si>
  <si>
    <t>Faunthorpe, Mrs. Lizzie (Elizabeth Anne Wilkinson)</t>
  </si>
  <si>
    <t>2926</t>
  </si>
  <si>
    <t>Ostby, Mr. Engelhart Cornelius</t>
  </si>
  <si>
    <t>113509</t>
  </si>
  <si>
    <t>Woolner, Mr. Hugh</t>
  </si>
  <si>
    <t>19947</t>
  </si>
  <si>
    <t>Rugg, Miss. Emily</t>
  </si>
  <si>
    <t>C.A. 31026</t>
  </si>
  <si>
    <t>Novel, Mr. Mansouer</t>
  </si>
  <si>
    <t>2697</t>
  </si>
  <si>
    <t>West, Miss. Constance Mirium</t>
  </si>
  <si>
    <t>C.A. 34651</t>
  </si>
  <si>
    <t>Goodwin, Master. William Frederick</t>
  </si>
  <si>
    <t>CA 2144</t>
  </si>
  <si>
    <t>Sirayanian, Mr. Orsen</t>
  </si>
  <si>
    <t>2669</t>
  </si>
  <si>
    <t>Icard, Miss. Amelie</t>
  </si>
  <si>
    <t>113572</t>
  </si>
  <si>
    <t>Harris, Mr. Henry Birkhardt</t>
  </si>
  <si>
    <t>36973</t>
  </si>
  <si>
    <t>Skoog, Master. Harald</t>
  </si>
  <si>
    <t>347088</t>
  </si>
  <si>
    <t>Stewart, Mr. Albert A</t>
  </si>
  <si>
    <t>PC 17605</t>
  </si>
  <si>
    <t>Moubarek, Master. Gerios</t>
  </si>
  <si>
    <t>2661</t>
  </si>
  <si>
    <t>Nye, Mrs. (Elizabeth Ramell)</t>
  </si>
  <si>
    <t>C.A. 29395</t>
  </si>
  <si>
    <t>Crease, Mr. Ernest James</t>
  </si>
  <si>
    <t>S.P. 3464</t>
  </si>
  <si>
    <t>Andersson, Miss. Erna Alexandra</t>
  </si>
  <si>
    <t>3101281</t>
  </si>
  <si>
    <t>Kink, Mr. Vincenz</t>
  </si>
  <si>
    <t>315151</t>
  </si>
  <si>
    <t>Jenkin, Mr. Stephen Curnow</t>
  </si>
  <si>
    <t>C.A. 33111</t>
  </si>
  <si>
    <t>Goodwin, Miss. Lillian Amy</t>
  </si>
  <si>
    <t>Hood, Mr. Ambrose Jr</t>
  </si>
  <si>
    <t>S.O.C. 14879</t>
  </si>
  <si>
    <t>Chronopoulos, Mr. Apostolos</t>
  </si>
  <si>
    <t>2680</t>
  </si>
  <si>
    <t>Bing, Mr. Lee</t>
  </si>
  <si>
    <t>1601</t>
  </si>
  <si>
    <t>Moen, Mr. Sigurd Hansen</t>
  </si>
  <si>
    <t>348123</t>
  </si>
  <si>
    <t>Staneff, Mr. Ivan</t>
  </si>
  <si>
    <t>349208</t>
  </si>
  <si>
    <t>Moutal, Mr. Rahamin Haim</t>
  </si>
  <si>
    <t>374746</t>
  </si>
  <si>
    <t>Caldwell, Master. Alden Gates</t>
  </si>
  <si>
    <t>248738</t>
  </si>
  <si>
    <t>Dowdell, Miss. Elizabeth</t>
  </si>
  <si>
    <t>364516</t>
  </si>
  <si>
    <t>Waelens, Mr. Achille</t>
  </si>
  <si>
    <t>345767</t>
  </si>
  <si>
    <t>Sheerlinck, Mr. Jan Baptist</t>
  </si>
  <si>
    <t>345779</t>
  </si>
  <si>
    <t>McDermott, Miss. Brigdet Delia</t>
  </si>
  <si>
    <t>330932</t>
  </si>
  <si>
    <t>Carrau, Mr. Francisco M</t>
  </si>
  <si>
    <t>113059</t>
  </si>
  <si>
    <t>Ilett, Miss. Bertha</t>
  </si>
  <si>
    <t>SO/C 14885</t>
  </si>
  <si>
    <t>Backstrom, Mrs. Karl Alfred (Maria Mathilda Gustafsson)</t>
  </si>
  <si>
    <t>3101278</t>
  </si>
  <si>
    <t>Ford, Mr. William Neal</t>
  </si>
  <si>
    <t>W./C. 6608</t>
  </si>
  <si>
    <t>Slocovski, Mr. Selman Francis</t>
  </si>
  <si>
    <t>SOTON/OQ 392086</t>
  </si>
  <si>
    <t>Fortune, Miss. Mabel Helen</t>
  </si>
  <si>
    <t>Celotti, Mr. Francesco</t>
  </si>
  <si>
    <t>343275</t>
  </si>
  <si>
    <t>Christmann, Mr. Emil</t>
  </si>
  <si>
    <t>343276</t>
  </si>
  <si>
    <t>Andreasson, Mr. Paul Edvin</t>
  </si>
  <si>
    <t>347466</t>
  </si>
  <si>
    <t>Chaffee, Mr. Herbert Fuller</t>
  </si>
  <si>
    <t>W.E.P. 5734</t>
  </si>
  <si>
    <t>Dean, Mr. Bertram Frank</t>
  </si>
  <si>
    <t>C.A. 2315</t>
  </si>
  <si>
    <t>Coxon, Mr. Daniel</t>
  </si>
  <si>
    <t>364500</t>
  </si>
  <si>
    <t>Shorney, Mr. Charles Joseph</t>
  </si>
  <si>
    <t>374910</t>
  </si>
  <si>
    <t>Goldschmidt, Mr. George B</t>
  </si>
  <si>
    <t>PC 17754</t>
  </si>
  <si>
    <t>Greenfield, Mr. William Bertram</t>
  </si>
  <si>
    <t>PC 17759</t>
  </si>
  <si>
    <t>Doling, Mrs. John T (Ada Julia Bone)</t>
  </si>
  <si>
    <t>231919</t>
  </si>
  <si>
    <t>Kantor, Mr. Sinai</t>
  </si>
  <si>
    <t>244367</t>
  </si>
  <si>
    <t>Petranec, Miss. Matilda</t>
  </si>
  <si>
    <t>349245</t>
  </si>
  <si>
    <t>Petroff, Mr. Pastcho ("Pentcho")</t>
  </si>
  <si>
    <t>349215</t>
  </si>
  <si>
    <t>White, Mr. Richard Frasar</t>
  </si>
  <si>
    <t>35281</t>
  </si>
  <si>
    <t>Johansson, Mr. Gustaf Joel</t>
  </si>
  <si>
    <t>7540</t>
  </si>
  <si>
    <t>Gustafsson, Mr. Anders Vilhelm</t>
  </si>
  <si>
    <t>3101276</t>
  </si>
  <si>
    <t>Mionoff, Mr. Stoytcho</t>
  </si>
  <si>
    <t>349207</t>
  </si>
  <si>
    <t>Salkjelsvik, Miss. Anna Kristine</t>
  </si>
  <si>
    <t>343120</t>
  </si>
  <si>
    <t>Moss, Mr. Albert Johan</t>
  </si>
  <si>
    <t>312991</t>
  </si>
  <si>
    <t>Rekic, Mr. Tido</t>
  </si>
  <si>
    <t>349249</t>
  </si>
  <si>
    <t>Moran, Miss. Bertha</t>
  </si>
  <si>
    <t>371110</t>
  </si>
  <si>
    <t>Porter, Mr. Walter Chamberlain</t>
  </si>
  <si>
    <t>110465</t>
  </si>
  <si>
    <t>Zabour, Miss. Hileni</t>
  </si>
  <si>
    <t>2665</t>
  </si>
  <si>
    <t>Barton, Mr. David John</t>
  </si>
  <si>
    <t>324669</t>
  </si>
  <si>
    <t>Jussila, Miss. Katriina</t>
  </si>
  <si>
    <t>4136</t>
  </si>
  <si>
    <t>Attalah, Miss. Malake</t>
  </si>
  <si>
    <t>2627</t>
  </si>
  <si>
    <t>Pekoniemi, Mr. Edvard</t>
  </si>
  <si>
    <t>STON/O 2. 3101294</t>
  </si>
  <si>
    <t>Connors, Mr. Patrick</t>
  </si>
  <si>
    <t>370369</t>
  </si>
  <si>
    <t>Turpin, Mr. William John Robert</t>
  </si>
  <si>
    <t>Baxter, Mr. Quigg Edmond</t>
  </si>
  <si>
    <t>PC 17558</t>
  </si>
  <si>
    <t>Andersson, Miss. Ellis Anna Maria</t>
  </si>
  <si>
    <t>Hickman, Mr. Stanley George</t>
  </si>
  <si>
    <t>Moore, Mr. Leonard Charles</t>
  </si>
  <si>
    <t>A4. 54510</t>
  </si>
  <si>
    <t>Nasser, Mr. Nicholas</t>
  </si>
  <si>
    <t>Webber, Miss. Susan</t>
  </si>
  <si>
    <t>27267</t>
  </si>
  <si>
    <t>White, Mr. Percival Wayland</t>
  </si>
  <si>
    <t>Nicola-Yarred, Master. Elias</t>
  </si>
  <si>
    <t>McMahon, Mr. Martin</t>
  </si>
  <si>
    <t>370372</t>
  </si>
  <si>
    <t>Madsen, Mr. Fridtjof Arne</t>
  </si>
  <si>
    <t>C 17369</t>
  </si>
  <si>
    <t>Peter, Miss. Anna</t>
  </si>
  <si>
    <t>2668</t>
  </si>
  <si>
    <t>Ekstrom, Mr. Johan</t>
  </si>
  <si>
    <t>347061</t>
  </si>
  <si>
    <t>Drazenoic, Mr. Jozef</t>
  </si>
  <si>
    <t>349241</t>
  </si>
  <si>
    <t>Coelho, Mr. Domingos Fernandeo</t>
  </si>
  <si>
    <t>SOTON/O.Q. 3101307</t>
  </si>
  <si>
    <t>Robins, Mrs. Alexander A (Grace Charity Laury)</t>
  </si>
  <si>
    <t>A/5. 3337</t>
  </si>
  <si>
    <t>Weisz, Mrs. Leopold (Mathilde Francoise Pede)</t>
  </si>
  <si>
    <t>228414</t>
  </si>
  <si>
    <t>Sobey, Mr. Samuel James Hayden</t>
  </si>
  <si>
    <t>C.A. 29178</t>
  </si>
  <si>
    <t>Richard, Mr. Emile</t>
  </si>
  <si>
    <t>SC/PARIS 2133</t>
  </si>
  <si>
    <t>Newsom, Miss. Helen Monypeny</t>
  </si>
  <si>
    <t>11752</t>
  </si>
  <si>
    <t>Futrelle, Mr. Jacques Heath</t>
  </si>
  <si>
    <t>Osen, Mr. Olaf Elon</t>
  </si>
  <si>
    <t>7534</t>
  </si>
  <si>
    <t>Giglio, Mr. Victor</t>
  </si>
  <si>
    <t>PC 17593</t>
  </si>
  <si>
    <t>Boulos, Mrs. Joseph (Sultana)</t>
  </si>
  <si>
    <t>2678</t>
  </si>
  <si>
    <t>Nysten, Miss. Anna Sofia</t>
  </si>
  <si>
    <t>347081</t>
  </si>
  <si>
    <t>Hakkarainen, Mrs. Pekka Pietari (Elin Matilda Dolck)</t>
  </si>
  <si>
    <t>STON/O2. 3101279</t>
  </si>
  <si>
    <t>Burke, Mr. Jeremiah</t>
  </si>
  <si>
    <t>365222</t>
  </si>
  <si>
    <t>Andrew, Mr. Edgardo Samuel</t>
  </si>
  <si>
    <t>231945</t>
  </si>
  <si>
    <t>Nicholls, Mr. Joseph Charles</t>
  </si>
  <si>
    <t>C.A. 33112</t>
  </si>
  <si>
    <t>Andersson, Mr. August Edvard ("Wennerstrom")</t>
  </si>
  <si>
    <t>350043</t>
  </si>
  <si>
    <t>Ford, Miss. Robina Maggie "Ruby"</t>
  </si>
  <si>
    <t>Navratil, Mr. Michel ("Louis M Hoffman")</t>
  </si>
  <si>
    <t>230080</t>
  </si>
  <si>
    <t>Byles, Rev. Thomas Roussel Davids</t>
  </si>
  <si>
    <t>244310</t>
  </si>
  <si>
    <t>Bateman, Rev. Robert James</t>
  </si>
  <si>
    <t>S.O.P. 1166</t>
  </si>
  <si>
    <t>Pears, Mrs. Thomas (Edith Wearne)</t>
  </si>
  <si>
    <t>113776</t>
  </si>
  <si>
    <t>Meo, Mr. Alfonzo</t>
  </si>
  <si>
    <t>A.5. 11206</t>
  </si>
  <si>
    <t>van Billiard, Mr. Austin Blyler</t>
  </si>
  <si>
    <t>A/5. 851</t>
  </si>
  <si>
    <t>Olsen, Mr. Ole Martin</t>
  </si>
  <si>
    <t>Fa 265302</t>
  </si>
  <si>
    <t>Williams, Mr. Charles Duane</t>
  </si>
  <si>
    <t>PC 17597</t>
  </si>
  <si>
    <t>Gilnagh, Miss. Katherine "Katie"</t>
  </si>
  <si>
    <t>35851</t>
  </si>
  <si>
    <t>Corn, Mr. Harry</t>
  </si>
  <si>
    <t>SOTON/OQ 392090</t>
  </si>
  <si>
    <t>Smiljanic, Mr. Mile</t>
  </si>
  <si>
    <t>315037</t>
  </si>
  <si>
    <t>Sage, Master. Thomas Henry</t>
  </si>
  <si>
    <t>CA. 2343</t>
  </si>
  <si>
    <t>Cribb, Mr. John Hatfield</t>
  </si>
  <si>
    <t>371362</t>
  </si>
  <si>
    <t>Watt, Mrs. James (Elizabeth "Bessie" Inglis Milne)</t>
  </si>
  <si>
    <t>C.A. 33595</t>
  </si>
  <si>
    <t>Bengtsson, Mr. John Viktor</t>
  </si>
  <si>
    <t>347068</t>
  </si>
  <si>
    <t>Calic, Mr. Jovo</t>
  </si>
  <si>
    <t>315093</t>
  </si>
  <si>
    <t>Panula, Master. Eino Viljami</t>
  </si>
  <si>
    <t>Goldsmith, Master. Frank John William "Frankie"</t>
  </si>
  <si>
    <t>363291</t>
  </si>
  <si>
    <t>Chibnall, Mrs. (Edith Martha Bowerman)</t>
  </si>
  <si>
    <t>113505</t>
  </si>
  <si>
    <t>Skoog, Mrs. William (Anna Bernhardina Karlsson)</t>
  </si>
  <si>
    <t>Baumann, Mr. John D</t>
  </si>
  <si>
    <t>PC 17318</t>
  </si>
  <si>
    <t>Ling, Mr. Lee</t>
  </si>
  <si>
    <t>Van der hoef, Mr. Wyckoff</t>
  </si>
  <si>
    <t>111240</t>
  </si>
  <si>
    <t>Rice, Master. Arthur</t>
  </si>
  <si>
    <t>Johnson, Miss. Eleanor Ileen</t>
  </si>
  <si>
    <t>Sivola, Mr. Antti Wilhelm</t>
  </si>
  <si>
    <t>STON/O 2. 3101280</t>
  </si>
  <si>
    <t>Smith, Mr. James Clinch</t>
  </si>
  <si>
    <t>17764</t>
  </si>
  <si>
    <t>Klasen, Mr. Klas Albin</t>
  </si>
  <si>
    <t>350404</t>
  </si>
  <si>
    <t>Lefebre, Master. Henry Forbes</t>
  </si>
  <si>
    <t>4133</t>
  </si>
  <si>
    <t>Isham, Miss. Ann Elizabeth</t>
  </si>
  <si>
    <t>PC 17595</t>
  </si>
  <si>
    <t>Hale, Mr. Reginald</t>
  </si>
  <si>
    <t>250653</t>
  </si>
  <si>
    <t>Leonard, Mr. Lionel</t>
  </si>
  <si>
    <t>LINE</t>
  </si>
  <si>
    <t>Sage, Miss. Constance Gladys</t>
  </si>
  <si>
    <t>Pernot, Mr. Rene</t>
  </si>
  <si>
    <t>SC/PARIS 2131</t>
  </si>
  <si>
    <t>Asplund, Master. Clarence Gustaf Hugo</t>
  </si>
  <si>
    <t>Becker, Master. Richard F</t>
  </si>
  <si>
    <t>230136</t>
  </si>
  <si>
    <t>Kink-Heilmann, Miss. Luise Gretchen</t>
  </si>
  <si>
    <t>315153</t>
  </si>
  <si>
    <t>Rood, Mr. Hugh Roscoe</t>
  </si>
  <si>
    <t>113767</t>
  </si>
  <si>
    <t>O'Brien, Mrs. Thomas (Johanna "Hannah" Godfrey)</t>
  </si>
  <si>
    <t>370365</t>
  </si>
  <si>
    <t>Romaine, Mr. Charles Hallace ("Mr C Rolmane")</t>
  </si>
  <si>
    <t>111428</t>
  </si>
  <si>
    <t>Bourke, Mr. John</t>
  </si>
  <si>
    <t>364849</t>
  </si>
  <si>
    <t>Turcin, Mr. Stjepan</t>
  </si>
  <si>
    <t>349247</t>
  </si>
  <si>
    <t>Pinsky, Mrs. (Rosa)</t>
  </si>
  <si>
    <t>234604</t>
  </si>
  <si>
    <t>Carbines, Mr. William</t>
  </si>
  <si>
    <t>28424</t>
  </si>
  <si>
    <t>Andersen-Jensen, Miss. Carla Christine Nielsine</t>
  </si>
  <si>
    <t>350046</t>
  </si>
  <si>
    <t>Navratil, Master. Michel M</t>
  </si>
  <si>
    <t>Brown, Mrs. James Joseph (Margaret Tobin)</t>
  </si>
  <si>
    <t>PC 17610</t>
  </si>
  <si>
    <t>Lurette, Miss. Elise</t>
  </si>
  <si>
    <t>Mernagh, Mr. Robert</t>
  </si>
  <si>
    <t>368703</t>
  </si>
  <si>
    <t>Olsen, Mr. Karl Siegwart Andreas</t>
  </si>
  <si>
    <t>4579</t>
  </si>
  <si>
    <t>Madigan, Miss. Margaret "Maggie"</t>
  </si>
  <si>
    <t>370370</t>
  </si>
  <si>
    <t>Yrois, Miss. Henriette ("Mrs Harbeck")</t>
  </si>
  <si>
    <t>248747</t>
  </si>
  <si>
    <t>Vande Walle, Mr. Nestor Cyriel</t>
  </si>
  <si>
    <t>345770</t>
  </si>
  <si>
    <t>Sage, Mr. Frederick</t>
  </si>
  <si>
    <t>Johanson, Mr. Jakob Alfred</t>
  </si>
  <si>
    <t>3101264</t>
  </si>
  <si>
    <t>Youseff, Mr. Gerious</t>
  </si>
  <si>
    <t>2628</t>
  </si>
  <si>
    <t>Cohen, Mr. Gurshon "Gus"</t>
  </si>
  <si>
    <t>A/5 3540</t>
  </si>
  <si>
    <t>Strom, Miss. Telma Matilda</t>
  </si>
  <si>
    <t>347054</t>
  </si>
  <si>
    <t>Backstrom, Mr. Karl Alfred</t>
  </si>
  <si>
    <t>Albimona, Mr. Nassef Cassem</t>
  </si>
  <si>
    <t>2699</t>
  </si>
  <si>
    <t>Carr, Miss. Helen "Ellen"</t>
  </si>
  <si>
    <t>367231</t>
  </si>
  <si>
    <t>Blank, Mr. Henry</t>
  </si>
  <si>
    <t>112277</t>
  </si>
  <si>
    <t>Ali, Mr. Ahmed</t>
  </si>
  <si>
    <t>SOTON/O.Q. 3101311</t>
  </si>
  <si>
    <t>Cameron, Miss. Clear Annie</t>
  </si>
  <si>
    <t>F.C.C. 13528</t>
  </si>
  <si>
    <t>Perkin, Mr. John Henry</t>
  </si>
  <si>
    <t>A/5 21174</t>
  </si>
  <si>
    <t>Givard, Mr. Hans Kristensen</t>
  </si>
  <si>
    <t>250646</t>
  </si>
  <si>
    <t>Kiernan, Mr. Philip</t>
  </si>
  <si>
    <t>367229</t>
  </si>
  <si>
    <t>Newell, Miss. Madeleine</t>
  </si>
  <si>
    <t>35273</t>
  </si>
  <si>
    <t>Honkanen, Miss. Eliina</t>
  </si>
  <si>
    <t>STON/O2. 3101283</t>
  </si>
  <si>
    <t>Jacobsohn, Mr. Sidney Samuel</t>
  </si>
  <si>
    <t>243847</t>
  </si>
  <si>
    <t>Bazzani, Miss. Albina</t>
  </si>
  <si>
    <t>11813</t>
  </si>
  <si>
    <t>Harris, Mr. Walter</t>
  </si>
  <si>
    <t>W/C 14208</t>
  </si>
  <si>
    <t>Sunderland, Mr. Victor Francis</t>
  </si>
  <si>
    <t>SOTON/OQ 392089</t>
  </si>
  <si>
    <t>Bracken, Mr. James H</t>
  </si>
  <si>
    <t>220367</t>
  </si>
  <si>
    <t>Green, Mr. George Henry</t>
  </si>
  <si>
    <t>21440</t>
  </si>
  <si>
    <t>Nenkoff, Mr. Christo</t>
  </si>
  <si>
    <t>349234</t>
  </si>
  <si>
    <t>Hoyt, Mr. Frederick Maxfield</t>
  </si>
  <si>
    <t>19943</t>
  </si>
  <si>
    <t>Berglund, Mr. Karl Ivar Sven</t>
  </si>
  <si>
    <t>PP 4348</t>
  </si>
  <si>
    <t>Mellors, Mr. William John</t>
  </si>
  <si>
    <t>SW/PP 751</t>
  </si>
  <si>
    <t>Lovell, Mr. John Hall ("Henry")</t>
  </si>
  <si>
    <t>A/5 21173</t>
  </si>
  <si>
    <t>Fahlstrom, Mr. Arne Jonas</t>
  </si>
  <si>
    <t>236171</t>
  </si>
  <si>
    <t>Lefebre, Miss. Mathilde</t>
  </si>
  <si>
    <t>Harris, Mrs. Henry Birkhardt (Irene Wallach)</t>
  </si>
  <si>
    <t>Larsson, Mr. Bengt Edvin</t>
  </si>
  <si>
    <t>347067</t>
  </si>
  <si>
    <t>Sjostedt, Mr. Ernst Adolf</t>
  </si>
  <si>
    <t>237442</t>
  </si>
  <si>
    <t>Asplund, Miss. Lillian Gertrud</t>
  </si>
  <si>
    <t>Leyson, Mr. Robert William Norman</t>
  </si>
  <si>
    <t>C.A. 29566</t>
  </si>
  <si>
    <t>Harknett, Miss. Alice Phoebe</t>
  </si>
  <si>
    <t>W./C. 6609</t>
  </si>
  <si>
    <t>Hold, Mr. Stephen</t>
  </si>
  <si>
    <t>26707</t>
  </si>
  <si>
    <t>Collyer, Miss. Marjorie "Lottie"</t>
  </si>
  <si>
    <t>C.A. 31921</t>
  </si>
  <si>
    <t>Pengelly, Mr. Frederick William</t>
  </si>
  <si>
    <t>28665</t>
  </si>
  <si>
    <t>Hunt, Mr. George Henry</t>
  </si>
  <si>
    <t>SCO/W 1585</t>
  </si>
  <si>
    <t>Zabour, Miss. Thamine</t>
  </si>
  <si>
    <t>Murphy, Miss. Katherine "Kate"</t>
  </si>
  <si>
    <t>367230</t>
  </si>
  <si>
    <t>Coleridge, Mr. Reginald Charles</t>
  </si>
  <si>
    <t>W./C. 14263</t>
  </si>
  <si>
    <t>Maenpaa, Mr. Matti Alexanteri</t>
  </si>
  <si>
    <t>STON/O 2. 3101275</t>
  </si>
  <si>
    <t>Attalah, Mr. Sleiman</t>
  </si>
  <si>
    <t>2694</t>
  </si>
  <si>
    <t>Minahan, Dr. William Edward</t>
  </si>
  <si>
    <t>19928</t>
  </si>
  <si>
    <t>Lindahl, Miss. Agda Thorilda Viktoria</t>
  </si>
  <si>
    <t>347071</t>
  </si>
  <si>
    <t>Hamalainen, Mrs. William (Anna)</t>
  </si>
  <si>
    <t>250649</t>
  </si>
  <si>
    <t>Beckwith, Mr. Richard Leonard</t>
  </si>
  <si>
    <t>11751</t>
  </si>
  <si>
    <t>Carter, Rev. Ernest Courtenay</t>
  </si>
  <si>
    <t>244252</t>
  </si>
  <si>
    <t>Reed, Mr. James George</t>
  </si>
  <si>
    <t>362316</t>
  </si>
  <si>
    <t>Strom, Mrs. Wilhelm (Elna Matilda Persson)</t>
  </si>
  <si>
    <t>Stead, Mr. William Thomas</t>
  </si>
  <si>
    <t>113514</t>
  </si>
  <si>
    <t>Lobb, Mr. William Arthur</t>
  </si>
  <si>
    <t>A/5. 3336</t>
  </si>
  <si>
    <t>Rosblom, Mrs. Viktor (Helena Wilhelmina)</t>
  </si>
  <si>
    <t>370129</t>
  </si>
  <si>
    <t>Touma, Mrs. Darwis (Hanne Youssef Razi)</t>
  </si>
  <si>
    <t>2650</t>
  </si>
  <si>
    <t>Thorne, Mrs. Gertrude Maybelle</t>
  </si>
  <si>
    <t>PC 17585</t>
  </si>
  <si>
    <t>Cherry, Miss. Gladys</t>
  </si>
  <si>
    <t>110152</t>
  </si>
  <si>
    <t>Ward, Miss. Anna</t>
  </si>
  <si>
    <t>PC 17755</t>
  </si>
  <si>
    <t>Parrish, Mrs. (Lutie Davis)</t>
  </si>
  <si>
    <t>230433</t>
  </si>
  <si>
    <t>Smith, Mr. Thomas</t>
  </si>
  <si>
    <t>384461</t>
  </si>
  <si>
    <t>Asplund, Master. Edvin Rojj Felix</t>
  </si>
  <si>
    <t>Taussig, Mr. Emil</t>
  </si>
  <si>
    <t>110413</t>
  </si>
  <si>
    <t>Harrison, Mr. William</t>
  </si>
  <si>
    <t>112059</t>
  </si>
  <si>
    <t>Henry, Miss. Delia</t>
  </si>
  <si>
    <t>382649</t>
  </si>
  <si>
    <t>Reeves, Mr. David</t>
  </si>
  <si>
    <t>C.A. 17248</t>
  </si>
  <si>
    <t>Panula, Mr. Ernesti Arvid</t>
  </si>
  <si>
    <t>Persson, Mr. Ernst Ulrik</t>
  </si>
  <si>
    <t>347083</t>
  </si>
  <si>
    <t>Graham, Mrs. William Thompson (Edith Junkins)</t>
  </si>
  <si>
    <t>PC 17582</t>
  </si>
  <si>
    <t>Bissette, Miss. Amelia</t>
  </si>
  <si>
    <t>PC 17760</t>
  </si>
  <si>
    <t>Cairns, Mr. Alexander</t>
  </si>
  <si>
    <t>113798</t>
  </si>
  <si>
    <t>Tornquist, Mr. William Henry</t>
  </si>
  <si>
    <t>Mellinger, Mrs. (Elizabeth Anne Maidment)</t>
  </si>
  <si>
    <t>250644</t>
  </si>
  <si>
    <t>Natsch, Mr. Charles H</t>
  </si>
  <si>
    <t>PC 17596</t>
  </si>
  <si>
    <t>Healy, Miss. Hanora "Nora"</t>
  </si>
  <si>
    <t>370375</t>
  </si>
  <si>
    <t>Andrews, Miss. Kornelia Theodosia</t>
  </si>
  <si>
    <t>13502</t>
  </si>
  <si>
    <t>Lindblom, Miss. Augusta Charlotta</t>
  </si>
  <si>
    <t>347073</t>
  </si>
  <si>
    <t>Parkes, Mr. Francis "Frank"</t>
  </si>
  <si>
    <t>239853</t>
  </si>
  <si>
    <t>Rice, Master. Eric</t>
  </si>
  <si>
    <t>Abbott, Mrs. Stanton (Rosa Hunt)</t>
  </si>
  <si>
    <t>C.A. 2673</t>
  </si>
  <si>
    <t>Duane, Mr. Frank</t>
  </si>
  <si>
    <t>336439</t>
  </si>
  <si>
    <t>Olsson, Mr. Nils Johan Goransson</t>
  </si>
  <si>
    <t>347464</t>
  </si>
  <si>
    <t>de Pelsmaeker, Mr. Alfons</t>
  </si>
  <si>
    <t>345778</t>
  </si>
  <si>
    <t>Dorking, Mr. Edward Arthur</t>
  </si>
  <si>
    <t>A/5. 10482</t>
  </si>
  <si>
    <t>Smith, Mr. Richard William</t>
  </si>
  <si>
    <t>113056</t>
  </si>
  <si>
    <t>Stankovic, Mr. Ivan</t>
  </si>
  <si>
    <t>349239</t>
  </si>
  <si>
    <t>de Mulder, Mr. Theodore</t>
  </si>
  <si>
    <t>345774</t>
  </si>
  <si>
    <t>Naidenoff, Mr. Penko</t>
  </si>
  <si>
    <t>349206</t>
  </si>
  <si>
    <t>Hosono, Mr. Masabumi</t>
  </si>
  <si>
    <t>237798</t>
  </si>
  <si>
    <t>Connolly, Miss. Kate</t>
  </si>
  <si>
    <t>370373</t>
  </si>
  <si>
    <t>Barber, Miss. Ellen "Nellie"</t>
  </si>
  <si>
    <t>19877</t>
  </si>
  <si>
    <t>Bishop, Mrs. Dickinson H (Helen Walton)</t>
  </si>
  <si>
    <t>11967</t>
  </si>
  <si>
    <t>Levy, Mr. Rene Jacques</t>
  </si>
  <si>
    <t>SC/Paris 2163</t>
  </si>
  <si>
    <t>Haas, Miss. Aloisia</t>
  </si>
  <si>
    <t>349236</t>
  </si>
  <si>
    <t>Mineff, Mr. Ivan</t>
  </si>
  <si>
    <t>349233</t>
  </si>
  <si>
    <t>Lewy, Mr. Ervin G</t>
  </si>
  <si>
    <t>PC 17612</t>
  </si>
  <si>
    <t>Hanna, Mr. Mansour</t>
  </si>
  <si>
    <t>2693</t>
  </si>
  <si>
    <t>Allison, Miss. Helen Loraine</t>
  </si>
  <si>
    <t>113781</t>
  </si>
  <si>
    <t>Saalfeld, Mr. Adolphe</t>
  </si>
  <si>
    <t>19988</t>
  </si>
  <si>
    <t>Baxter, Mrs. James (Helene DeLaudeniere Chaput)</t>
  </si>
  <si>
    <t>Kelly, Miss. Anna Katherine "Annie Kate"</t>
  </si>
  <si>
    <t>9234</t>
  </si>
  <si>
    <t>McCoy, Mr. Bernard</t>
  </si>
  <si>
    <t>367226</t>
  </si>
  <si>
    <t>Johnson, Mr. William Cahoone Jr</t>
  </si>
  <si>
    <t>Keane, Miss. Nora A</t>
  </si>
  <si>
    <t>226593</t>
  </si>
  <si>
    <t>Williams, Mr. Howard Hugh "Harry"</t>
  </si>
  <si>
    <t>A/5 2466</t>
  </si>
  <si>
    <t>Allison, Master. Hudson Trevor</t>
  </si>
  <si>
    <t>Fleming, Miss. Margaret</t>
  </si>
  <si>
    <t>17421</t>
  </si>
  <si>
    <t>Penasco y Castellana, Mrs. Victor de Satode (Maria Josefa Perez de Soto y Vallejo)</t>
  </si>
  <si>
    <t>PC 17758</t>
  </si>
  <si>
    <t>Abelson, Mr. Samuel</t>
  </si>
  <si>
    <t>P/PP 3381</t>
  </si>
  <si>
    <t>Francatelli, Miss. Laura Mabel</t>
  </si>
  <si>
    <t>PC 17485</t>
  </si>
  <si>
    <t>Hays, Miss. Margaret Bechstein</t>
  </si>
  <si>
    <t>11767</t>
  </si>
  <si>
    <t>Ryerson, Miss. Emily Borie</t>
  </si>
  <si>
    <t>PC 17608</t>
  </si>
  <si>
    <t>Lahtinen, Mrs. William (Anna Sylfven)</t>
  </si>
  <si>
    <t>250651</t>
  </si>
  <si>
    <t>Hendekovic, Mr. Ignjac</t>
  </si>
  <si>
    <t>349243</t>
  </si>
  <si>
    <t>Hart, Mr. Benjamin</t>
  </si>
  <si>
    <t>F.C.C. 13529</t>
  </si>
  <si>
    <t>Nilsson, Miss. Helmina Josefina</t>
  </si>
  <si>
    <t>347470</t>
  </si>
  <si>
    <t>Kantor, Mrs. Sinai (Miriam Sternin)</t>
  </si>
  <si>
    <t>Moraweck, Dr. Ernest</t>
  </si>
  <si>
    <t>29011</t>
  </si>
  <si>
    <t>Wick, Miss. Mary Natalie</t>
  </si>
  <si>
    <t>36928</t>
  </si>
  <si>
    <t>Spedden, Mrs. Frederic Oakley (Margaretta Corning Stone)</t>
  </si>
  <si>
    <t>16966</t>
  </si>
  <si>
    <t>Dennis, Mr. Samuel</t>
  </si>
  <si>
    <t>A/5 21172</t>
  </si>
  <si>
    <t>Danoff, Mr. Yoto</t>
  </si>
  <si>
    <t>349219</t>
  </si>
  <si>
    <t>Slayter, Miss. Hilda Mary</t>
  </si>
  <si>
    <t>234818</t>
  </si>
  <si>
    <t>Caldwell, Mrs. Albert Francis (Sylvia Mae Harbaugh)</t>
  </si>
  <si>
    <t>Sage, Mr. George John Jr</t>
  </si>
  <si>
    <t>Young, Miss. Marie Grice</t>
  </si>
  <si>
    <t>Nysveen, Mr. Johan Hansen</t>
  </si>
  <si>
    <t>345364</t>
  </si>
  <si>
    <t>Ball, Mrs. (Ada E Hall)</t>
  </si>
  <si>
    <t>28551</t>
  </si>
  <si>
    <t>Goldsmith, Mrs. Frank John (Emily Alice Brown)</t>
  </si>
  <si>
    <t>Hippach, Miss. Jean Gertrude</t>
  </si>
  <si>
    <t>111361</t>
  </si>
  <si>
    <t>McCoy, Miss. Agnes</t>
  </si>
  <si>
    <t>Partner, Mr. Austen</t>
  </si>
  <si>
    <t>113043</t>
  </si>
  <si>
    <t>Graham, Mr. George Edward</t>
  </si>
  <si>
    <t>Vander Planke, Mr. Leo Edmondus</t>
  </si>
  <si>
    <t>Frauenthal, Mrs. Henry William (Clara Heinsheimer)</t>
  </si>
  <si>
    <t>PC 17611</t>
  </si>
  <si>
    <t>Denkoff, Mr. Mitto</t>
  </si>
  <si>
    <t>349225</t>
  </si>
  <si>
    <t>Pears, Mr. Thomas Clinton</t>
  </si>
  <si>
    <t>Burns, Miss. Elizabeth Margaret</t>
  </si>
  <si>
    <t>Dahl, Mr. Karl Edwart</t>
  </si>
  <si>
    <t>7598</t>
  </si>
  <si>
    <t>Blackwell, Mr. Stephen Weart</t>
  </si>
  <si>
    <t>113784</t>
  </si>
  <si>
    <t>Navratil, Master. Edmond Roger</t>
  </si>
  <si>
    <t>Fortune, Miss. Alice Elizabeth</t>
  </si>
  <si>
    <t>Collander, Mr. Erik Gustaf</t>
  </si>
  <si>
    <t>248740</t>
  </si>
  <si>
    <t>Sedgwick, Mr. Charles Frederick Waddington</t>
  </si>
  <si>
    <t>244361</t>
  </si>
  <si>
    <t>Fox, Mr. Stanley Hubert</t>
  </si>
  <si>
    <t>229236</t>
  </si>
  <si>
    <t>Brown, Miss. Amelia "Mildred"</t>
  </si>
  <si>
    <t>248733</t>
  </si>
  <si>
    <t>Smith, Miss. Marion Elsie</t>
  </si>
  <si>
    <t>31418</t>
  </si>
  <si>
    <t>Davison, Mrs. Thomas Henry (Mary E Finck)</t>
  </si>
  <si>
    <t>386525</t>
  </si>
  <si>
    <t>Coutts, Master. William Loch "William"</t>
  </si>
  <si>
    <t>C.A. 37671</t>
  </si>
  <si>
    <t>Dimic, Mr. Jovan</t>
  </si>
  <si>
    <t>315088</t>
  </si>
  <si>
    <t>Odahl, Mr. Nils Martin</t>
  </si>
  <si>
    <t>7267</t>
  </si>
  <si>
    <t>Williams-Lambert, Mr. Fletcher Fellows</t>
  </si>
  <si>
    <t>113510</t>
  </si>
  <si>
    <t>Elias, Mr. Tannous</t>
  </si>
  <si>
    <t>2695</t>
  </si>
  <si>
    <t>Arnold-Franchi, Mr. Josef</t>
  </si>
  <si>
    <t>Yousif, Mr. Wazli</t>
  </si>
  <si>
    <t>2647</t>
  </si>
  <si>
    <t>Vanden Steen, Mr. Leo Peter</t>
  </si>
  <si>
    <t>345783</t>
  </si>
  <si>
    <t>Bowerman, Miss. Elsie Edith</t>
  </si>
  <si>
    <t>Funk, Miss. Annie Clemmer</t>
  </si>
  <si>
    <t>237671</t>
  </si>
  <si>
    <t>McGovern, Miss. Mary</t>
  </si>
  <si>
    <t>330931</t>
  </si>
  <si>
    <t>Mockler, Miss. Helen Mary "Ellie"</t>
  </si>
  <si>
    <t>330980</t>
  </si>
  <si>
    <t>Skoog, Mr. Wilhelm</t>
  </si>
  <si>
    <t>del Carlo, Mr. Sebastiano</t>
  </si>
  <si>
    <t>SC/PARIS 2167</t>
  </si>
  <si>
    <t>Barbara, Mrs. (Catherine David)</t>
  </si>
  <si>
    <t>2691</t>
  </si>
  <si>
    <t>Asim, Mr. Adola</t>
  </si>
  <si>
    <t>SOTON/O.Q. 3101310</t>
  </si>
  <si>
    <t>O'Brien, Mr. Thomas</t>
  </si>
  <si>
    <t>Adahl, Mr. Mauritz Nils Martin</t>
  </si>
  <si>
    <t>C 7076</t>
  </si>
  <si>
    <t>Warren, Mrs. Frank Manley (Anna Sophia Atkinson)</t>
  </si>
  <si>
    <t>110813</t>
  </si>
  <si>
    <t>Moussa, Mrs. (Mantoura Boulos)</t>
  </si>
  <si>
    <t>2626</t>
  </si>
  <si>
    <t>Jermyn, Miss. Annie</t>
  </si>
  <si>
    <t>14313</t>
  </si>
  <si>
    <t>Aubart, Mme. Leontine Pauline</t>
  </si>
  <si>
    <t>PC 17477</t>
  </si>
  <si>
    <t>Harder, Mr. George Achilles</t>
  </si>
  <si>
    <t>11765</t>
  </si>
  <si>
    <t>Wiklund, Mr. Jakob Alfred</t>
  </si>
  <si>
    <t>3101267</t>
  </si>
  <si>
    <t>Beavan, Mr. William Thomas</t>
  </si>
  <si>
    <t>323951</t>
  </si>
  <si>
    <t>Ringhini, Mr. Sante</t>
  </si>
  <si>
    <t>Palsson, Miss. Stina Viola</t>
  </si>
  <si>
    <t>Meyer, Mrs. Edgar Joseph (Leila Saks)</t>
  </si>
  <si>
    <t>Landergren, Miss. Aurora Adelia</t>
  </si>
  <si>
    <t>C 7077</t>
  </si>
  <si>
    <t>Widener, Mr. Harry Elkins</t>
  </si>
  <si>
    <t>113503</t>
  </si>
  <si>
    <t>Betros, Mr. Tannous</t>
  </si>
  <si>
    <t>2648</t>
  </si>
  <si>
    <t>Gustafsson, Mr. Karl Gideon</t>
  </si>
  <si>
    <t>347069</t>
  </si>
  <si>
    <t>Bidois, Miss. Rosalie</t>
  </si>
  <si>
    <t>PC 17757</t>
  </si>
  <si>
    <t>Nakid, Miss. Maria ("Mary")</t>
  </si>
  <si>
    <t>2653</t>
  </si>
  <si>
    <t>Tikkanen, Mr. Juho</t>
  </si>
  <si>
    <t>STON/O 2. 3101293</t>
  </si>
  <si>
    <t>Holverson, Mrs. Alexander Oskar (Mary Aline Towner)</t>
  </si>
  <si>
    <t>Plotcharsky, Mr. Vasil</t>
  </si>
  <si>
    <t>349227</t>
  </si>
  <si>
    <t>Davies, Mr. Charles Henry</t>
  </si>
  <si>
    <t>Goodwin, Master. Sidney Leonard</t>
  </si>
  <si>
    <t>Buss, Miss. Kate</t>
  </si>
  <si>
    <t>27849</t>
  </si>
  <si>
    <t>Sadlier, Mr. Matthew</t>
  </si>
  <si>
    <t>367655</t>
  </si>
  <si>
    <t>Lehmann, Miss. Bertha</t>
  </si>
  <si>
    <t>SC 1748</t>
  </si>
  <si>
    <t>Carter, Mr. William Ernest</t>
  </si>
  <si>
    <t>113760</t>
  </si>
  <si>
    <t>Jansson, Mr. Carl Olof</t>
  </si>
  <si>
    <t>350034</t>
  </si>
  <si>
    <t>Gustafsson, Mr. Johan Birger</t>
  </si>
  <si>
    <t>3101277</t>
  </si>
  <si>
    <t>Newell, Miss. Marjorie</t>
  </si>
  <si>
    <t>Sandstrom, Mrs. Hjalmar (Agnes Charlotta Bengtsson)</t>
  </si>
  <si>
    <t>Johansson, Mr. Erik</t>
  </si>
  <si>
    <t>350052</t>
  </si>
  <si>
    <t>Olsson, Miss. Elina</t>
  </si>
  <si>
    <t>350407</t>
  </si>
  <si>
    <t>McKane, Mr. Peter David</t>
  </si>
  <si>
    <t>28403</t>
  </si>
  <si>
    <t>Pain, Dr. Alfred</t>
  </si>
  <si>
    <t>244278</t>
  </si>
  <si>
    <t>Trout, Mrs. William H (Jessie L)</t>
  </si>
  <si>
    <t>240929</t>
  </si>
  <si>
    <t>Niskanen, Mr. Juha</t>
  </si>
  <si>
    <t>STON/O 2. 3101289</t>
  </si>
  <si>
    <t>Adams, Mr. John</t>
  </si>
  <si>
    <t>341826</t>
  </si>
  <si>
    <t>Jussila, Miss. Mari Aina</t>
  </si>
  <si>
    <t>4137</t>
  </si>
  <si>
    <t>Hakkarainen, Mr. Pekka Pietari</t>
  </si>
  <si>
    <t>Oreskovic, Miss. Marija</t>
  </si>
  <si>
    <t>315096</t>
  </si>
  <si>
    <t>Gale, Mr. Shadrach</t>
  </si>
  <si>
    <t>28664</t>
  </si>
  <si>
    <t>Widegren, Mr. Carl/Charles Peter</t>
  </si>
  <si>
    <t>347064</t>
  </si>
  <si>
    <t>Richards, Master. William Rowe</t>
  </si>
  <si>
    <t>29106</t>
  </si>
  <si>
    <t>Birkeland, Mr. Hans Martin Monsen</t>
  </si>
  <si>
    <t>312992</t>
  </si>
  <si>
    <t>Lefebre, Miss. Ida</t>
  </si>
  <si>
    <t>Sdycoff, Mr. Todor</t>
  </si>
  <si>
    <t>349222</t>
  </si>
  <si>
    <t>Hart, Mr. Henry</t>
  </si>
  <si>
    <t>394140</t>
  </si>
  <si>
    <t>Minahan, Miss. Daisy E</t>
  </si>
  <si>
    <t>Cunningham, Mr. Alfred Fleming</t>
  </si>
  <si>
    <t>Sundman, Mr. Johan Julian</t>
  </si>
  <si>
    <t>STON/O 2. 3101269</t>
  </si>
  <si>
    <t>Meek, Mrs. Thomas (Annie Louise Rowley)</t>
  </si>
  <si>
    <t>343095</t>
  </si>
  <si>
    <t>Drew, Mrs. James Vivian (Lulu Thorne Christian)</t>
  </si>
  <si>
    <t>28220</t>
  </si>
  <si>
    <t>Silven, Miss. Lyyli Karoliina</t>
  </si>
  <si>
    <t>250652</t>
  </si>
  <si>
    <t>Matthews, Mr. William John</t>
  </si>
  <si>
    <t>28228</t>
  </si>
  <si>
    <t>Van Impe, Miss. Catharina</t>
  </si>
  <si>
    <t>345773</t>
  </si>
  <si>
    <t>Gheorgheff, Mr. Stanio</t>
  </si>
  <si>
    <t>349254</t>
  </si>
  <si>
    <t>Charters, Mr. David</t>
  </si>
  <si>
    <t>A/5. 13032</t>
  </si>
  <si>
    <t>Zimmerman, Mr. Leo</t>
  </si>
  <si>
    <t>315082</t>
  </si>
  <si>
    <t>Danbom, Mrs. Ernst Gilbert (Anna Sigrid Maria Brogren)</t>
  </si>
  <si>
    <t>347080</t>
  </si>
  <si>
    <t>Rosblom, Mr. Viktor Richard</t>
  </si>
  <si>
    <t>Wiseman, Mr. Phillippe</t>
  </si>
  <si>
    <t>A/4. 34244</t>
  </si>
  <si>
    <t>Clarke, Mrs. Charles V (Ada Maria Winfield)</t>
  </si>
  <si>
    <t>2003</t>
  </si>
  <si>
    <t>Phillips, Miss. Kate Florence ("Mrs Kate Louise Phillips Marshall")</t>
  </si>
  <si>
    <t>250655</t>
  </si>
  <si>
    <t>Flynn, Mr. James</t>
  </si>
  <si>
    <t>364851</t>
  </si>
  <si>
    <t>Pickard, Mr. Berk (Berk Trembisky)</t>
  </si>
  <si>
    <t>SOTON/O.Q. 392078</t>
  </si>
  <si>
    <t>Bjornstrom-Steffansson, Mr. Mauritz Hakan</t>
  </si>
  <si>
    <t>110564</t>
  </si>
  <si>
    <t>Thorneycroft, Mrs. Percival (Florence Kate White)</t>
  </si>
  <si>
    <t>376564</t>
  </si>
  <si>
    <t>Louch, Mrs. Charles Alexander (Alice Adelaide Slow)</t>
  </si>
  <si>
    <t>SC/AH 3085</t>
  </si>
  <si>
    <t>Kallio, Mr. Nikolai Erland</t>
  </si>
  <si>
    <t>STON/O 2. 3101274</t>
  </si>
  <si>
    <t>Silvey, Mr. William Baird</t>
  </si>
  <si>
    <t>13507</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</si>
  <si>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</si>
  <si>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</si>
  <si>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</si>
  <si>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</si>
  <si>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</si>
  <si>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</si>
  <si>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</si>
  <si>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</si>
  <si>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345769</t>
  </si>
  <si>
    <t>Petterson, Mr. Johan Emil</t>
  </si>
  <si>
    <t>347076</t>
  </si>
  <si>
    <t>Reynaldo, Ms. Encarnacion</t>
  </si>
  <si>
    <t>230434</t>
  </si>
  <si>
    <t>Johannesen-Bratthammer, Mr. Bernt</t>
  </si>
  <si>
    <t>65306</t>
  </si>
  <si>
    <t>Dodge, Master. Washington</t>
  </si>
  <si>
    <t>33638</t>
  </si>
  <si>
    <t>Mellinger, Miss. Madeleine Violet</t>
  </si>
  <si>
    <t>Seward, Mr. Frederic Kimber</t>
  </si>
  <si>
    <t>113794</t>
  </si>
  <si>
    <t>Baclini, Miss. Marie Catherine</t>
  </si>
  <si>
    <t>2666</t>
  </si>
  <si>
    <t>Peuchen, Major. Arthur Godfrey</t>
  </si>
  <si>
    <t>113786</t>
  </si>
  <si>
    <t>West, Mr. Edwy Arthur</t>
  </si>
  <si>
    <t>Hagland, Mr. Ingvald Olai Olsen</t>
  </si>
  <si>
    <t>65303</t>
  </si>
  <si>
    <t>Foreman, Mr. Benjamin Laventall</t>
  </si>
  <si>
    <t>113051</t>
  </si>
  <si>
    <t>Goldenberg, Mr. Samuel L</t>
  </si>
  <si>
    <t>17453</t>
  </si>
  <si>
    <t>Peduzzi, Mr. Joseph</t>
  </si>
  <si>
    <t>A/5 2817</t>
  </si>
  <si>
    <t>Jalsevac, Mr. Ivan</t>
  </si>
  <si>
    <t>349240</t>
  </si>
  <si>
    <t>Millet, Mr. Francis Davis</t>
  </si>
  <si>
    <t>13509</t>
  </si>
  <si>
    <t>Kenyon, Mrs. Frederick R (Marion)</t>
  </si>
  <si>
    <t>17464</t>
  </si>
  <si>
    <t>Toomey, Miss. Ellen</t>
  </si>
  <si>
    <t>F.C.C. 13531</t>
  </si>
  <si>
    <t>O'Connor, Mr. Maurice</t>
  </si>
  <si>
    <t>371060</t>
  </si>
  <si>
    <t>Anderson, Mr. Harry</t>
  </si>
  <si>
    <t>19952</t>
  </si>
  <si>
    <t>Morley, Mr. William</t>
  </si>
  <si>
    <t>364506</t>
  </si>
  <si>
    <t>Gee, Mr. Arthur H</t>
  </si>
  <si>
    <t>111320</t>
  </si>
  <si>
    <t>Milling, Mr. Jacob Christian</t>
  </si>
  <si>
    <t>234360</t>
  </si>
  <si>
    <t>Maisner, Mr. Simon</t>
  </si>
  <si>
    <t>A/S 2816</t>
  </si>
  <si>
    <t>Goncalves, Mr. Manuel Estanslas</t>
  </si>
  <si>
    <t>SOTON/O.Q. 3101306</t>
  </si>
  <si>
    <t>Campbell, Mr. William</t>
  </si>
  <si>
    <t>Smart, Mr. John Montgomery</t>
  </si>
  <si>
    <t>113792</t>
  </si>
  <si>
    <t>Scanlan, Mr. James</t>
  </si>
  <si>
    <t>36209</t>
  </si>
  <si>
    <t>Baclini, Miss. Helene Barbara</t>
  </si>
  <si>
    <t>Keefe, Mr. Arthur</t>
  </si>
  <si>
    <t>323592</t>
  </si>
  <si>
    <t>Cacic, Mr. Luka</t>
  </si>
  <si>
    <t>315089</t>
  </si>
  <si>
    <t>West, Mrs. Edwy Arthur (Ada Mary Worth)</t>
  </si>
  <si>
    <t>Jerwan, Mrs. Amin S (Marie Marthe Thuillard)</t>
  </si>
  <si>
    <t>SC/AH Basle 541</t>
  </si>
  <si>
    <t>Strandberg, Miss. Ida Sofia</t>
  </si>
  <si>
    <t>7553</t>
  </si>
  <si>
    <t>Clifford, Mr. George Quincy</t>
  </si>
  <si>
    <t>Renouf, Mr. Peter Henry</t>
  </si>
  <si>
    <t>31027</t>
  </si>
  <si>
    <t>Braund, Mr. Lewis Richard</t>
  </si>
  <si>
    <t>3460</t>
  </si>
  <si>
    <t>Karlsson, Mr. Nils August</t>
  </si>
  <si>
    <t>350060</t>
  </si>
  <si>
    <t>Hirvonen, Miss. Hildur E</t>
  </si>
  <si>
    <t>3101298</t>
  </si>
  <si>
    <t>Goodwin, Master. Harold Victor</t>
  </si>
  <si>
    <t>Frost, Mr. Anthony Wood "Archie"</t>
  </si>
  <si>
    <t>239854</t>
  </si>
  <si>
    <t>Rouse, Mr. Richard Henry</t>
  </si>
  <si>
    <t>A/5 3594</t>
  </si>
  <si>
    <t>Turkula, Mrs. (Hedwig)</t>
  </si>
  <si>
    <t>4134</t>
  </si>
  <si>
    <t>Bishop, Mr. Dickinson H</t>
  </si>
  <si>
    <t>Lefebre, Miss. Jeannie</t>
  </si>
  <si>
    <t>Hoyt, Mrs. Frederick Maxfield (Jane Anne Forby)</t>
  </si>
  <si>
    <t>Kent, Mr. Edward Austin</t>
  </si>
  <si>
    <t>11771</t>
  </si>
  <si>
    <t>Somerton, Mr. Francis William</t>
  </si>
  <si>
    <t>A.5. 18509</t>
  </si>
  <si>
    <t>Coutts, Master. Eden Leslie "Neville"</t>
  </si>
  <si>
    <t>Hagland, Mr. Konrad Mathias Reiersen</t>
  </si>
  <si>
    <t>65304</t>
  </si>
  <si>
    <t>Windelov, Mr. Einar</t>
  </si>
  <si>
    <t>SOTON/OQ 3101317</t>
  </si>
  <si>
    <t>Molson, Mr. Harry Markland</t>
  </si>
  <si>
    <t>113787</t>
  </si>
  <si>
    <t>Artagaveytia, Mr. Ramon</t>
  </si>
  <si>
    <t>PC 17609</t>
  </si>
  <si>
    <t>Stanley, Mr. Edward Roland</t>
  </si>
  <si>
    <t>A/4 45380</t>
  </si>
  <si>
    <t>Yousseff, Mr. Gerious</t>
  </si>
  <si>
    <t>Eustis, Miss. Elizabeth Mussey</t>
  </si>
  <si>
    <t>36947</t>
  </si>
  <si>
    <t>Shellard, Mr. Frederick William</t>
  </si>
  <si>
    <t>C.A. 6212</t>
  </si>
  <si>
    <t>Allison, Mrs. Hudson J C (Bessie Waldo Daniels)</t>
  </si>
  <si>
    <t>Svensson, Mr. Olof</t>
  </si>
  <si>
    <t>350035</t>
  </si>
  <si>
    <t>Calic, Mr. Petar</t>
  </si>
  <si>
    <t>315086</t>
  </si>
  <si>
    <t>Canavan, Miss. Mary</t>
  </si>
  <si>
    <t>364846</t>
  </si>
  <si>
    <t>O'Sullivan, Miss. Bridget Mary</t>
  </si>
  <si>
    <t>330909</t>
  </si>
  <si>
    <t>Laitinen, Miss. Kristina Sofia</t>
  </si>
  <si>
    <t>4135</t>
  </si>
  <si>
    <t>Maioni, Miss. Roberta</t>
  </si>
  <si>
    <t>Penasco y Castellana, Mr. Victor de Satode</t>
  </si>
  <si>
    <t>Quick, Mrs. Frederick Charles (Jane Richards)</t>
  </si>
  <si>
    <t>26360</t>
  </si>
  <si>
    <t>Bradley, Mr. George ("George Arthur Brayton")</t>
  </si>
  <si>
    <t>111427</t>
  </si>
  <si>
    <t>Olsen, Mr. Henry Margido</t>
  </si>
  <si>
    <t>C 4001</t>
  </si>
  <si>
    <t>Lang, Mr. Fang</t>
  </si>
  <si>
    <t>Daly, Mr. Eugene Patrick</t>
  </si>
  <si>
    <t>382651</t>
  </si>
  <si>
    <t>Webber, Mr. James</t>
  </si>
  <si>
    <t>SOTON/OQ 3101316</t>
  </si>
  <si>
    <t>McGough, Mr. James Robert</t>
  </si>
  <si>
    <t>PC 17473</t>
  </si>
  <si>
    <t>Rothschild, Mrs. Martin (Elizabeth L. Barrett)</t>
  </si>
  <si>
    <t>PC 17603</t>
  </si>
  <si>
    <t>Coleff, Mr. Satio</t>
  </si>
  <si>
    <t>349209</t>
  </si>
  <si>
    <t>Walker, Mr. William Anderson</t>
  </si>
  <si>
    <t>36967</t>
  </si>
  <si>
    <t>Lemore, Mrs. (Amelia Milley)</t>
  </si>
  <si>
    <t>C.A. 34260</t>
  </si>
  <si>
    <t>Ryan, Mr. Patrick</t>
  </si>
  <si>
    <t>Angle, Mrs. William A (Florence "Mary" Agnes Hughes)</t>
  </si>
  <si>
    <t>226875</t>
  </si>
  <si>
    <t>Pavlovic, Mr. Stefo</t>
  </si>
  <si>
    <t>349242</t>
  </si>
  <si>
    <t>Perreault, Miss. Anne</t>
  </si>
  <si>
    <t>12749</t>
  </si>
  <si>
    <t>Vovk, Mr. Janko</t>
  </si>
  <si>
    <t>349252</t>
  </si>
  <si>
    <t>Lahoud, Mr. Sarkis</t>
  </si>
  <si>
    <t>2624</t>
  </si>
  <si>
    <t>Hippach, Mrs. Louis Albert (Ida Sophia Fischer)</t>
  </si>
  <si>
    <t>Kassem, Mr. Fared</t>
  </si>
  <si>
    <t>2700</t>
  </si>
  <si>
    <t>Farrell, Mr. James</t>
  </si>
  <si>
    <t>367232</t>
  </si>
  <si>
    <t>Ridsdale, Miss. Lucy</t>
  </si>
  <si>
    <t>W./C. 14258</t>
  </si>
  <si>
    <t>Farthing, Mr. John</t>
  </si>
  <si>
    <t>PC 17483</t>
  </si>
  <si>
    <t>Salonen, Mr. Johan Werner</t>
  </si>
  <si>
    <t>3101296</t>
  </si>
  <si>
    <t>Hocking, Mr. Richard George</t>
  </si>
  <si>
    <t>29104</t>
  </si>
  <si>
    <t>Quick, Miss. Phyllis May</t>
  </si>
  <si>
    <t>Toufik, Mr. Nakli</t>
  </si>
  <si>
    <t>2641</t>
  </si>
  <si>
    <t>Elias, Mr. Joseph Jr</t>
  </si>
  <si>
    <t>2690</t>
  </si>
  <si>
    <t>Peter, Mrs. Catherine (Catherine Rizk)</t>
  </si>
  <si>
    <t>Cacic, Miss. Marija</t>
  </si>
  <si>
    <t>315084</t>
  </si>
  <si>
    <t>Hart, Miss. Eva Miriam</t>
  </si>
  <si>
    <t>Butt, Major. Archibald Willingham</t>
  </si>
  <si>
    <t>113050</t>
  </si>
  <si>
    <t>LeRoy, Miss. Bertha</t>
  </si>
  <si>
    <t>PC 17761</t>
  </si>
  <si>
    <t>Risien, Mr. Samuel Beard</t>
  </si>
  <si>
    <t>364498</t>
  </si>
  <si>
    <t>Frolicher, Miss. Hedwig Margaritha</t>
  </si>
  <si>
    <t>13568</t>
  </si>
  <si>
    <t>Crosby, Miss. Harriet R</t>
  </si>
  <si>
    <t>WE/P 5735</t>
  </si>
  <si>
    <t>Andersson, Miss. Ingeborg Constanzia</t>
  </si>
  <si>
    <t>Andersson, Miss. Sigrid Elisabeth</t>
  </si>
  <si>
    <t>Beane, Mr. Edward</t>
  </si>
  <si>
    <t>2908</t>
  </si>
  <si>
    <t>Douglas, Mr. Walter Donald</t>
  </si>
  <si>
    <t>Nicholson, Mr. Arthur Ernest</t>
  </si>
  <si>
    <t>693</t>
  </si>
  <si>
    <t>Beane, Mrs. Edward (Ethel Clarke)</t>
  </si>
  <si>
    <t>Padro y Manent, Mr. Julian</t>
  </si>
  <si>
    <t>SC/PARIS 2146</t>
  </si>
  <si>
    <t>Goldsmith, Mr. Frank John</t>
  </si>
  <si>
    <t>Davies, Master. John Morgan Jr</t>
  </si>
  <si>
    <t>Thayer, Mr. John Borland Jr</t>
  </si>
  <si>
    <t>Sharp, Mr. Percival James R</t>
  </si>
  <si>
    <t>244358</t>
  </si>
  <si>
    <t>O'Brien, Mr. Timothy</t>
  </si>
  <si>
    <t>330979</t>
  </si>
  <si>
    <t>Leeni, Mr. Fahim ("Philip Zenni")</t>
  </si>
  <si>
    <t>2620</t>
  </si>
  <si>
    <t>Ohman, Miss. Velin</t>
  </si>
  <si>
    <t>347085</t>
  </si>
  <si>
    <t>Wright, Mr. George</t>
  </si>
  <si>
    <t>113807</t>
  </si>
  <si>
    <t>Duff Gordon, Lady. (Lucille Christiana Sutherland) ("Mrs Morgan")</t>
  </si>
  <si>
    <t>11755</t>
  </si>
  <si>
    <t>Robbins, Mr. Victor</t>
  </si>
  <si>
    <t>Taussig, Mrs. Emil (Tillie Mandelbaum)</t>
  </si>
  <si>
    <t>de Messemaeker, Mrs. Guillaume Joseph (Emma)</t>
  </si>
  <si>
    <t>345572</t>
  </si>
  <si>
    <t>Morrow, Mr. Thomas Rowan</t>
  </si>
  <si>
    <t>372622</t>
  </si>
  <si>
    <t>Sivic, Mr. Husein</t>
  </si>
  <si>
    <t>349251</t>
  </si>
  <si>
    <t>Norman, Mr. Robert Douglas</t>
  </si>
  <si>
    <t>218629</t>
  </si>
  <si>
    <t>Simmons, Mr. John</t>
  </si>
  <si>
    <t>SOTON/OQ 392082</t>
  </si>
  <si>
    <t>Meanwell, Miss. (Marion Ogden)</t>
  </si>
  <si>
    <t>SOTON/O.Q. 392087</t>
  </si>
  <si>
    <t>Davies, Mr. Alfred J</t>
  </si>
  <si>
    <t>A/4 48871</t>
  </si>
  <si>
    <t>Stoytcheff, Mr. Ilia</t>
  </si>
  <si>
    <t>349205</t>
  </si>
  <si>
    <t>Palsson, Mrs. Nils (Alma Cornelia Berglund)</t>
  </si>
  <si>
    <t>Doharr, Mr. Tannous</t>
  </si>
  <si>
    <t>2686</t>
  </si>
  <si>
    <t>Jonsson, Mr. Carl</t>
  </si>
  <si>
    <t>350417</t>
  </si>
  <si>
    <t>Harris, Mr. George</t>
  </si>
  <si>
    <t>S.W./PP 752</t>
  </si>
  <si>
    <t>Appleton, Mrs. Edward Dale (Charlotte Lamson)</t>
  </si>
  <si>
    <t>11769</t>
  </si>
  <si>
    <t>Flynn, Mr. John Irwin ("Irving")</t>
  </si>
  <si>
    <t>PC 17474</t>
  </si>
  <si>
    <t>Kelly, Miss. Mary</t>
  </si>
  <si>
    <t>14312</t>
  </si>
  <si>
    <t>Rush, Mr. Alfred George John</t>
  </si>
  <si>
    <t>A/4. 20589</t>
  </si>
  <si>
    <t>Patchett, Mr. George</t>
  </si>
  <si>
    <t>358585</t>
  </si>
  <si>
    <t>Garside, Miss. Ethel</t>
  </si>
  <si>
    <t>243880</t>
  </si>
  <si>
    <t>Silvey, Mrs. William Baird (Alice Munger)</t>
  </si>
  <si>
    <t>Caram, Mrs. Joseph (Maria Elias)</t>
  </si>
  <si>
    <t>2689</t>
  </si>
  <si>
    <t>Jussila, Mr. Eiriik</t>
  </si>
  <si>
    <t>STON/O 2. 3101286</t>
  </si>
  <si>
    <t>Christy, Miss. Julie Rachel</t>
  </si>
  <si>
    <t>237789</t>
  </si>
  <si>
    <t>Thayer, Mrs. John Borland (Marian Longstreth Morris)</t>
  </si>
  <si>
    <t>Downton, Mr. William James</t>
  </si>
  <si>
    <t>Ross, Mr. John Hugo</t>
  </si>
  <si>
    <t>13049</t>
  </si>
  <si>
    <t>Paulner, Mr. Uscher</t>
  </si>
  <si>
    <t>3411</t>
  </si>
  <si>
    <t>Taussig, Miss. Ruth</t>
  </si>
  <si>
    <t>Jarvis, Mr. John Denzil</t>
  </si>
  <si>
    <t>237565</t>
  </si>
  <si>
    <t>Frolicher-Stehli, Mr. Maxmillian</t>
  </si>
  <si>
    <t>13567</t>
  </si>
  <si>
    <t>Gilinski, Mr. Eliezer</t>
  </si>
  <si>
    <t>14973</t>
  </si>
  <si>
    <t>Murdlin, Mr. Joseph</t>
  </si>
  <si>
    <t>A./5. 3235</t>
  </si>
  <si>
    <t>Rintamaki, Mr. Matti</t>
  </si>
  <si>
    <t>STON/O 2. 3101273</t>
  </si>
  <si>
    <t>Stephenson, Mrs. Walter Bertram (Martha Eustis)</t>
  </si>
  <si>
    <t>Elsbury, Mr. William James</t>
  </si>
  <si>
    <t>A/5 3902</t>
  </si>
  <si>
    <t>Bourke, Miss. Mary</t>
  </si>
  <si>
    <t>364848</t>
  </si>
  <si>
    <t>Chapman, Mr. John Henry</t>
  </si>
  <si>
    <t>SC/AH 29037</t>
  </si>
  <si>
    <t>Van Impe, Mr. Jean Baptiste</t>
  </si>
  <si>
    <t>Leitch, Miss. Jessie Wills</t>
  </si>
  <si>
    <t>248727</t>
  </si>
  <si>
    <t>Johnson, Mr. Alfred</t>
  </si>
  <si>
    <t>Boulos, Mr. Hanna</t>
  </si>
  <si>
    <t>2664</t>
  </si>
  <si>
    <t>Duff Gordon, Sir. Cosmo Edmund ("Mr Morgan")</t>
  </si>
  <si>
    <t>Jacobsohn, Mrs. Sidney Samuel (Amy Frances Christy)</t>
  </si>
  <si>
    <t>Slabenoff, Mr. Petco</t>
  </si>
  <si>
    <t>349214</t>
  </si>
  <si>
    <t>Harrington, Mr. Charles H</t>
  </si>
  <si>
    <t>113796</t>
  </si>
  <si>
    <t>Torber, Mr. Ernst William</t>
  </si>
  <si>
    <t>364511</t>
  </si>
  <si>
    <t>Homer, Mr. Harry ("Mr E Haven")</t>
  </si>
  <si>
    <t>111426</t>
  </si>
  <si>
    <t>Lindell, Mr. Edvard Bengtsson</t>
  </si>
  <si>
    <t>349910</t>
  </si>
  <si>
    <t>Karaic, Mr. Milan</t>
  </si>
  <si>
    <t>349246</t>
  </si>
  <si>
    <t>Daniel, Mr. Robert Williams</t>
  </si>
  <si>
    <t>113804</t>
  </si>
  <si>
    <t>Laroche, Mrs. Joseph (Juliette Marie Louise Lafargue)</t>
  </si>
  <si>
    <t>Shutes, Miss. Elizabeth W</t>
  </si>
  <si>
    <t>Andersson, Mrs. Anders Johan (Alfrida Konstantia Brogren)</t>
  </si>
  <si>
    <t>Jardin, Mr. Jose Neto</t>
  </si>
  <si>
    <t>SOTON/O.Q. 3101305</t>
  </si>
  <si>
    <t>Murphy, Miss. Margaret Jane</t>
  </si>
  <si>
    <t>Horgan, Mr. John</t>
  </si>
  <si>
    <t>370377</t>
  </si>
  <si>
    <t>Brocklebank, Mr. William Alfred</t>
  </si>
  <si>
    <t>364512</t>
  </si>
  <si>
    <t>Herman, Miss. Alice</t>
  </si>
  <si>
    <t>220845</t>
  </si>
  <si>
    <t>Danbom, Mr. Ernst Gilbert</t>
  </si>
  <si>
    <t>Lobb, Mrs. William Arthur (Cordelia K Stanlick)</t>
  </si>
  <si>
    <t>Becker, Miss. Marion Louise</t>
  </si>
  <si>
    <t>Gavey, Mr. Lawrence</t>
  </si>
  <si>
    <t>31028</t>
  </si>
  <si>
    <t>Yasbeck, Mr. Antoni</t>
  </si>
  <si>
    <t>2659</t>
  </si>
  <si>
    <t>Kimball, Mr. Edwin Nelson Jr</t>
  </si>
  <si>
    <t>11753</t>
  </si>
  <si>
    <t>Nakid, Mr. Sahid</t>
  </si>
  <si>
    <t>Hansen, Mr. Henry Damsgaard</t>
  </si>
  <si>
    <t>350029</t>
  </si>
  <si>
    <t>Bowen, Mr. David John "Dai"</t>
  </si>
  <si>
    <t>54636</t>
  </si>
  <si>
    <t>Sutton, Mr. Frederick</t>
  </si>
  <si>
    <t>36963</t>
  </si>
  <si>
    <t>Kirkland, Rev. Charles Leonard</t>
  </si>
  <si>
    <t>219533</t>
  </si>
  <si>
    <t>Longley, Miss. Gretchen Fiske</t>
  </si>
  <si>
    <t>Bostandyeff, Mr. Guentcho</t>
  </si>
  <si>
    <t>349224</t>
  </si>
  <si>
    <t>O'Connell, Mr. Patrick D</t>
  </si>
  <si>
    <t>334912</t>
  </si>
  <si>
    <t>Barkworth, Mr. Algernon Henry Wilson</t>
  </si>
  <si>
    <t>27042</t>
  </si>
  <si>
    <t>Lundahl, Mr. Johan Svensson</t>
  </si>
  <si>
    <t>347743</t>
  </si>
  <si>
    <t>Stahelin-Maeglin, Dr. Max</t>
  </si>
  <si>
    <t>13214</t>
  </si>
  <si>
    <t>Parr, Mr. William Henry Marsh</t>
  </si>
  <si>
    <t>112052</t>
  </si>
  <si>
    <t>Skoog, Miss. Mabel</t>
  </si>
  <si>
    <t>Davis, Miss. Mary</t>
  </si>
  <si>
    <t>237668</t>
  </si>
  <si>
    <t>Leinonen, Mr. Antti Gustaf</t>
  </si>
  <si>
    <t>STON/O 2. 3101292</t>
  </si>
  <si>
    <t>Collyer, Mr. Harvey</t>
  </si>
  <si>
    <t>Panula, Mrs. Juha (Maria Emilia Ojala)</t>
  </si>
  <si>
    <t>Thorneycroft, Mr. Percival</t>
  </si>
  <si>
    <t>Jensen, Mr. Hans Peder</t>
  </si>
  <si>
    <t>350050</t>
  </si>
  <si>
    <t>Sagesser, Mlle. Emma</t>
  </si>
  <si>
    <t>Skoog, Miss. Margit Elizabeth</t>
  </si>
  <si>
    <t>Foo, Mr. Choong</t>
  </si>
  <si>
    <t>Baclini, Miss. Eugenie</t>
  </si>
  <si>
    <t>Harper, Mr. Henry Sleeper</t>
  </si>
  <si>
    <t>Cor, Mr. Liudevit</t>
  </si>
  <si>
    <t>349231</t>
  </si>
  <si>
    <t>Simonius-Blumer, Col. Oberst Alfons</t>
  </si>
  <si>
    <t>13213</t>
  </si>
  <si>
    <t>Willey, Mr. Edward</t>
  </si>
  <si>
    <t>S.O./P.P. 751</t>
  </si>
  <si>
    <t>Stanley, Miss. Amy Zillah Elsie</t>
  </si>
  <si>
    <t>CA. 2314</t>
  </si>
  <si>
    <t>Mitkoff, Mr. Mito</t>
  </si>
  <si>
    <t>349221</t>
  </si>
  <si>
    <t>Doling, Miss. Elsie</t>
  </si>
  <si>
    <t>Kalvik, Mr. Johannes Halvorsen</t>
  </si>
  <si>
    <t>8475</t>
  </si>
  <si>
    <t>O'Leary, Miss. Hanora "Norah"</t>
  </si>
  <si>
    <t>330919</t>
  </si>
  <si>
    <t>Hegarty, Miss. Hanora "Nora"</t>
  </si>
  <si>
    <t>365226</t>
  </si>
  <si>
    <t>Hickman, Mr. Leonard Mark</t>
  </si>
  <si>
    <t>Radeff, Mr. Alexander</t>
  </si>
  <si>
    <t>349223</t>
  </si>
  <si>
    <t>Bourke, Mrs. John (Catherine)</t>
  </si>
  <si>
    <t>Eitemiller, Mr. George Floyd</t>
  </si>
  <si>
    <t>29751</t>
  </si>
  <si>
    <t>Newell, Mr. Arthur Webster</t>
  </si>
  <si>
    <t>Frauenthal, Dr. Henry William</t>
  </si>
  <si>
    <t>Badt, Mr. Mohamed</t>
  </si>
  <si>
    <t>2623</t>
  </si>
  <si>
    <t>Colley, Mr. Edward Pomeroy</t>
  </si>
  <si>
    <t>5727</t>
  </si>
  <si>
    <t>Coleff, Mr. Peju</t>
  </si>
  <si>
    <t>349210</t>
  </si>
  <si>
    <t>Lindqvist, Mr. Eino William</t>
  </si>
  <si>
    <t>STON/O 2. 3101285</t>
  </si>
  <si>
    <t>Hickman, Mr. Lewis</t>
  </si>
  <si>
    <t>Butler, Mr. Reginald Fenton</t>
  </si>
  <si>
    <t>234686</t>
  </si>
  <si>
    <t>Rommetvedt, Mr. Knud Paust</t>
  </si>
  <si>
    <t>312993</t>
  </si>
  <si>
    <t>Cook, Mr. Jacob</t>
  </si>
  <si>
    <t>A/5 3536</t>
  </si>
  <si>
    <t>Taylor, Mrs. Elmer Zebley (Juliet Cummins Wright)</t>
  </si>
  <si>
    <t>19996</t>
  </si>
  <si>
    <t>Brown, Mrs. Thomas William Solomon (Elizabeth Catherine Ford)</t>
  </si>
  <si>
    <t>29750</t>
  </si>
  <si>
    <t>Davidson, Mr. Thornton</t>
  </si>
  <si>
    <t>F.C. 12750</t>
  </si>
  <si>
    <t>Mitchell, Mr. Henry Michael</t>
  </si>
  <si>
    <t>C.A. 24580</t>
  </si>
  <si>
    <t>Wilhelms, Mr. Charles</t>
  </si>
  <si>
    <t>244270</t>
  </si>
  <si>
    <t>Watson, Mr. Ennis Hastings</t>
  </si>
  <si>
    <t>239856</t>
  </si>
  <si>
    <t>Edvardsson, Mr. Gustaf Hjalmar</t>
  </si>
  <si>
    <t>349912</t>
  </si>
  <si>
    <t>Sawyer, Mr. Frederick Charles</t>
  </si>
  <si>
    <t>342826</t>
  </si>
  <si>
    <t>Turja, Miss. Anna Sofia</t>
  </si>
  <si>
    <t>4138</t>
  </si>
  <si>
    <t>Goodwin, Mrs. Frederick (Augusta Tyler)</t>
  </si>
  <si>
    <t>Cardeza, Mr. Thomas Drake Martinez</t>
  </si>
  <si>
    <t>Peters, Miss. Katie</t>
  </si>
  <si>
    <t>330935</t>
  </si>
  <si>
    <t>Hassab, Mr. Hammad</t>
  </si>
  <si>
    <t>Olsvigen, Mr. Thor Anderson</t>
  </si>
  <si>
    <t>6563</t>
  </si>
  <si>
    <t>Goodwin, Mr. Charles Edward</t>
  </si>
  <si>
    <t>Brown, Mr. Thomas William Solomon</t>
  </si>
  <si>
    <t>Laroche, Mr. Joseph Philippe Lemercier</t>
  </si>
  <si>
    <t>Panula, Mr. Jaako Arnold</t>
  </si>
  <si>
    <t>Dakic, Mr. Branko</t>
  </si>
  <si>
    <t>349228</t>
  </si>
  <si>
    <t>Fischer, Mr. Eberhard Thelander</t>
  </si>
  <si>
    <t>350036</t>
  </si>
  <si>
    <t>Madill, Miss. Georgette Alexandra</t>
  </si>
  <si>
    <t>24160</t>
  </si>
  <si>
    <t>Dick, Mr. Albert Adrian</t>
  </si>
  <si>
    <t>17474</t>
  </si>
  <si>
    <t>Karun, Miss. Manca</t>
  </si>
  <si>
    <t>349256</t>
  </si>
  <si>
    <t>Lam, Mr. Ali</t>
  </si>
  <si>
    <t>Saad, Mr. Khalil</t>
  </si>
  <si>
    <t>2672</t>
  </si>
  <si>
    <t>Weir, Col. John</t>
  </si>
  <si>
    <t>113800</t>
  </si>
  <si>
    <t>Chapman, Mr. Charles Henry</t>
  </si>
  <si>
    <t>248731</t>
  </si>
  <si>
    <t>Kelly, Mr. James</t>
  </si>
  <si>
    <t>363592</t>
  </si>
  <si>
    <t>Mullens, Miss. Katherine "Katie"</t>
  </si>
  <si>
    <t>35852</t>
  </si>
  <si>
    <t>Thayer, Mr. John Borland</t>
  </si>
  <si>
    <t>Humblen, Mr. Adolf Mathias Nicolai Olsen</t>
  </si>
  <si>
    <t>348121</t>
  </si>
  <si>
    <t>Astor, Mrs. John Jacob (Madeleine Talmadge Force)</t>
  </si>
  <si>
    <t>Silverthorne, Mr. Spencer Victor</t>
  </si>
  <si>
    <t>PC 17475</t>
  </si>
  <si>
    <t>Barbara, Miss. Saiide</t>
  </si>
  <si>
    <t>Gallagher, Mr. Martin</t>
  </si>
  <si>
    <t>36864</t>
  </si>
  <si>
    <t>Hansen, Mr. Henrik Juul</t>
  </si>
  <si>
    <t>350025</t>
  </si>
  <si>
    <t>Morley, Mr. Henry Samuel ("Mr Henry Marshall")</t>
  </si>
  <si>
    <t>Kelly, Mrs. Florence "Fannie"</t>
  </si>
  <si>
    <t>223596</t>
  </si>
  <si>
    <t>Calderhead, Mr. Edward Pennington</t>
  </si>
  <si>
    <t>PC 17476</t>
  </si>
  <si>
    <t>Cleaver, Miss. Alice</t>
  </si>
  <si>
    <t>Moubarek, Master. Halim Gonios ("William George")</t>
  </si>
  <si>
    <t>Mayne, Mlle. Berthe Antonine ("Mrs de Villiers")</t>
  </si>
  <si>
    <t>PC 17482</t>
  </si>
  <si>
    <t>Klaber, Mr. Herman</t>
  </si>
  <si>
    <t>113028</t>
  </si>
  <si>
    <t>Taylor, Mr. Elmer Zebley</t>
  </si>
  <si>
    <t>Larsson, Mr. August Viktor</t>
  </si>
  <si>
    <t>7545</t>
  </si>
  <si>
    <t>Greenberg, Mr. Samuel</t>
  </si>
  <si>
    <t>250647</t>
  </si>
  <si>
    <t>Soholt, Mr. Peter Andreas Lauritz Andersen</t>
  </si>
  <si>
    <t>348124</t>
  </si>
  <si>
    <t>Endres, Miss. Caroline Louise</t>
  </si>
  <si>
    <t>Troutt, Miss. Edwina Celia "Winnie"</t>
  </si>
  <si>
    <t>34218</t>
  </si>
  <si>
    <t>McEvoy, Mr. Michael</t>
  </si>
  <si>
    <t>36568</t>
  </si>
  <si>
    <t>Johnson, Mr. Malkolm Joackim</t>
  </si>
  <si>
    <t>347062</t>
  </si>
  <si>
    <t>Harper, Miss. Annie Jessie "Nina"</t>
  </si>
  <si>
    <t>Jensen, Mr. Svend Lauritz</t>
  </si>
  <si>
    <t>350048</t>
  </si>
  <si>
    <t>Gillespie, Mr. William Henry</t>
  </si>
  <si>
    <t>12233</t>
  </si>
  <si>
    <t>Hodges, Mr. Henry Price</t>
  </si>
  <si>
    <t>250643</t>
  </si>
  <si>
    <t>Chambers, Mr. Norman Campbell</t>
  </si>
  <si>
    <t>113806</t>
  </si>
  <si>
    <t>Oreskovic, Mr. Luka</t>
  </si>
  <si>
    <t>315094</t>
  </si>
  <si>
    <t>Renouf, Mrs. Peter Henry (Lillian Jefferys)</t>
  </si>
  <si>
    <t>Mannion, Miss. Margareth</t>
  </si>
  <si>
    <t>36866</t>
  </si>
  <si>
    <t>Bryhl, Mr. Kurt Arnold Gottfrid</t>
  </si>
  <si>
    <t>236853</t>
  </si>
  <si>
    <t>Ilmakangas, Miss. Pieta Sofia</t>
  </si>
  <si>
    <t>STON/O2. 3101271</t>
  </si>
  <si>
    <t>Allen, Miss. Elisabeth Walton</t>
  </si>
  <si>
    <t>Hassan, Mr. Houssein G N</t>
  </si>
  <si>
    <t>Knight, Mr. Robert J</t>
  </si>
  <si>
    <t>239855</t>
  </si>
  <si>
    <t>Berriman, Mr. William John</t>
  </si>
  <si>
    <t>28425</t>
  </si>
  <si>
    <t>Troupiansky, Mr. Moses Aaron</t>
  </si>
  <si>
    <t>233639</t>
  </si>
  <si>
    <t>Williams, Mr. Leslie</t>
  </si>
  <si>
    <t>Ford, Mrs. Edward (Margaret Ann Watson)</t>
  </si>
  <si>
    <t>Lesurer, Mr. Gustave J</t>
  </si>
  <si>
    <t>Ivanoff, Mr. Kanio</t>
  </si>
  <si>
    <t>349201</t>
  </si>
  <si>
    <t>Nankoff, Mr. Minko</t>
  </si>
  <si>
    <t>349218</t>
  </si>
  <si>
    <t>Hawksford, Mr. Walter James</t>
  </si>
  <si>
    <t>16988</t>
  </si>
  <si>
    <t>Cavendish, Mr. Tyrell William</t>
  </si>
  <si>
    <t>Ryerson, Miss. Susan Parker "Suzette"</t>
  </si>
  <si>
    <t>McNamee, Mr. Neal</t>
  </si>
  <si>
    <t>376566</t>
  </si>
  <si>
    <t>Stranden, Mr. Juho</t>
  </si>
  <si>
    <t>STON/O 2. 3101288</t>
  </si>
  <si>
    <t>Crosby, Capt. Edward Gifford</t>
  </si>
  <si>
    <t>Abbott, Mr. Rossmore Edward</t>
  </si>
  <si>
    <t>Sinkkonen, Miss. Anna</t>
  </si>
  <si>
    <t>250648</t>
  </si>
  <si>
    <t>Marvin, Mr. Daniel Warner</t>
  </si>
  <si>
    <t>113773</t>
  </si>
  <si>
    <t>Connaghton, Mr. Michael</t>
  </si>
  <si>
    <t>335097</t>
  </si>
  <si>
    <t>Wells, Miss. Joan</t>
  </si>
  <si>
    <t>29103</t>
  </si>
  <si>
    <t>Moor, Master. Meier</t>
  </si>
  <si>
    <t>392096</t>
  </si>
  <si>
    <t>Vande Velde, Mr. Johannes Joseph</t>
  </si>
  <si>
    <t>345780</t>
  </si>
  <si>
    <t>Jonkoff, Mr. Lalio</t>
  </si>
  <si>
    <t>349204</t>
  </si>
  <si>
    <t>Herman, Mrs. Samuel (Jane Laver)</t>
  </si>
  <si>
    <t>Hamalainen, Master. Viljo</t>
  </si>
  <si>
    <t>Carlsson, Mr. August Sigfrid</t>
  </si>
  <si>
    <t>350042</t>
  </si>
  <si>
    <t>Bailey, Mr. Percy Andrew</t>
  </si>
  <si>
    <t>29108</t>
  </si>
  <si>
    <t>Theobald, Mr. Thomas Leonard</t>
  </si>
  <si>
    <t>363294</t>
  </si>
  <si>
    <t>Rothes, the Countess. of (Lucy Noel Martha Dyer-Edwards)</t>
  </si>
  <si>
    <t>Garfirth, Mr. John</t>
  </si>
  <si>
    <t>Nirva, Mr. Iisakki Antino Aijo</t>
  </si>
  <si>
    <t>SOTON/O2 3101272</t>
  </si>
  <si>
    <t>Barah, Mr. Hanna Assi</t>
  </si>
  <si>
    <t>2663</t>
  </si>
  <si>
    <t>Carter, Mrs. William Ernest (Lucile Polk)</t>
  </si>
  <si>
    <t>Eklund, Mr. Hans Linus</t>
  </si>
  <si>
    <t>347074</t>
  </si>
  <si>
    <t>Hogeboom, Mrs. John C (Anna Andrews)</t>
  </si>
  <si>
    <t>Brewe, Dr. Arthur Jackson</t>
  </si>
  <si>
    <t>112379</t>
  </si>
  <si>
    <t>Mangan, Miss. Mary</t>
  </si>
  <si>
    <t>364850</t>
  </si>
  <si>
    <t>Moran, Mr. Daniel J</t>
  </si>
  <si>
    <t>Gronnestad, Mr. Daniel Danielsen</t>
  </si>
  <si>
    <t>8471</t>
  </si>
  <si>
    <t>Lievens, Mr. Rene Aime</t>
  </si>
  <si>
    <t>345781</t>
  </si>
  <si>
    <t>Jensen, Mr. Niels Peder</t>
  </si>
  <si>
    <t>350047</t>
  </si>
  <si>
    <t>Mack, Mrs. (Mary)</t>
  </si>
  <si>
    <t>S.O./P.P. 3</t>
  </si>
  <si>
    <t>Elias, Mr. Dibo</t>
  </si>
  <si>
    <t>2674</t>
  </si>
  <si>
    <t>Hocking, Mrs. Elizabeth (Eliza Needs)</t>
  </si>
  <si>
    <t>29105</t>
  </si>
  <si>
    <t>Myhrman, Mr. Pehr Fabian Oliver Malkolm</t>
  </si>
  <si>
    <t>347078</t>
  </si>
  <si>
    <t>Tobin, Mr. Roger</t>
  </si>
  <si>
    <t>383121</t>
  </si>
  <si>
    <t>Emanuel, Miss. Virginia Ethel</t>
  </si>
  <si>
    <t>Kilgannon, Mr. Thomas J</t>
  </si>
  <si>
    <t>36865</t>
  </si>
  <si>
    <t>Robert, Mrs. Edward Scott (Elisabeth Walton McMillan)</t>
  </si>
  <si>
    <t>Ayoub, Miss. Banoura</t>
  </si>
  <si>
    <t>2687</t>
  </si>
  <si>
    <t>Dick, Mrs. Albert Adrian (Vera Gillespie)</t>
  </si>
  <si>
    <t>Long, Mr. Milton Clyde</t>
  </si>
  <si>
    <t>113501</t>
  </si>
  <si>
    <t>Johnston, Mr. Andrew G</t>
  </si>
  <si>
    <t>W./C. 6607</t>
  </si>
  <si>
    <t>Ali, Mr. William</t>
  </si>
  <si>
    <t>SOTON/O.Q. 3101312</t>
  </si>
  <si>
    <t>Harmer, Mr. Abraham (David Lishin)</t>
  </si>
  <si>
    <t>374887</t>
  </si>
  <si>
    <t>Sjoblom, Miss. Anna Sofia</t>
  </si>
  <si>
    <t>3101265</t>
  </si>
  <si>
    <t>Rice, Master. George Hugh</t>
  </si>
  <si>
    <t>Dean, Master. Bertram Vere</t>
  </si>
  <si>
    <t>Guggenheim, Mr. Benjamin</t>
  </si>
  <si>
    <t>Keane, Mr. Andrew "Andy"</t>
  </si>
  <si>
    <t>12460</t>
  </si>
  <si>
    <t>Gaskell, Mr. Alfred</t>
  </si>
  <si>
    <t>Sage, Miss. Stella Anna</t>
  </si>
  <si>
    <t>Hoyt, Mr. William Fisher</t>
  </si>
  <si>
    <t>PC 17600</t>
  </si>
  <si>
    <t>Dantcheff, Mr. Ristiu</t>
  </si>
  <si>
    <t>349203</t>
  </si>
  <si>
    <t>Otter, Mr. Richard</t>
  </si>
  <si>
    <t>28213</t>
  </si>
  <si>
    <t>Leader, Dr. Alice (Farnham)</t>
  </si>
  <si>
    <t>17465</t>
  </si>
  <si>
    <t>Osman, Mrs. Mara</t>
  </si>
  <si>
    <t>349244</t>
  </si>
  <si>
    <t>Ibrahim Shawah, Mr. Yousseff</t>
  </si>
  <si>
    <t>2685</t>
  </si>
  <si>
    <t>Van Impe, Mrs. Jean Baptiste (Rosalie Paula Govaert)</t>
  </si>
  <si>
    <t>Ponesell, Mr. Martin</t>
  </si>
  <si>
    <t>Collyer, Mrs. Harvey (Charlotte Annie Tate)</t>
  </si>
  <si>
    <t>Carter, Master. William Thornton II</t>
  </si>
  <si>
    <t>Thomas, Master. Assad Alexander</t>
  </si>
  <si>
    <t>2625</t>
  </si>
  <si>
    <t>Hedman, Mr. Oskar Arvid</t>
  </si>
  <si>
    <t>347089</t>
  </si>
  <si>
    <t>Johansson, Mr. Karl Johan</t>
  </si>
  <si>
    <t>347063</t>
  </si>
  <si>
    <t>Andrews, Mr. Thomas Jr</t>
  </si>
  <si>
    <t>112050</t>
  </si>
  <si>
    <t>Pettersson, Miss. Ellen Natalia</t>
  </si>
  <si>
    <t>347087</t>
  </si>
  <si>
    <t>Meyer, Mr. August</t>
  </si>
  <si>
    <t>248723</t>
  </si>
  <si>
    <t>Chambers, Mrs. Norman Campbell (Bertha Griggs)</t>
  </si>
  <si>
    <t>Alexander, Mr. William</t>
  </si>
  <si>
    <t>3474</t>
  </si>
  <si>
    <t>Lester, Mr. James</t>
  </si>
  <si>
    <t>Slemen, Mr. Richard James</t>
  </si>
  <si>
    <t>28206</t>
  </si>
  <si>
    <t>Andersson, Miss. Ebba Iris Alfrida</t>
  </si>
  <si>
    <t>Tomlin, Mr. Ernest Portage</t>
  </si>
  <si>
    <t>364499</t>
  </si>
  <si>
    <t>Fry, Mr. Richard</t>
  </si>
  <si>
    <t>112058</t>
  </si>
  <si>
    <t>Heininen, Miss. Wendla Maria</t>
  </si>
  <si>
    <t>STON/O2. 3101290</t>
  </si>
  <si>
    <t>Mallet, Mr. Albert</t>
  </si>
  <si>
    <t>S.C./PARIS 2079</t>
  </si>
  <si>
    <t>Holm, Mr. John Fredrik Alexander</t>
  </si>
  <si>
    <t>C 7075</t>
  </si>
  <si>
    <t>Skoog, Master. Karl Thorsten</t>
  </si>
  <si>
    <t>Hays, Mrs. Charles Melville (Clara Jennings Gregg)</t>
  </si>
  <si>
    <t>Lulic, Mr. Nikola</t>
  </si>
  <si>
    <t>315098</t>
  </si>
  <si>
    <t>Reuchlin, Jonkheer. John George</t>
  </si>
  <si>
    <t>19972</t>
  </si>
  <si>
    <t>Moor, Mrs. (Beila)</t>
  </si>
  <si>
    <t>Panula, Master. Urho Abraham</t>
  </si>
  <si>
    <t>Flynn, Mr. John</t>
  </si>
  <si>
    <t>368323</t>
  </si>
  <si>
    <t>Lam, Mr. Len</t>
  </si>
  <si>
    <t>Mallet, Master. Andre</t>
  </si>
  <si>
    <t>McCormack, Mr. Thomas Joseph</t>
  </si>
  <si>
    <t>367228</t>
  </si>
  <si>
    <t>Stone, Mrs. George Nelson (Martha Evelyn)</t>
  </si>
  <si>
    <t>Yasbeck, Mrs. Antoni (Selini Alexander)</t>
  </si>
  <si>
    <t>Richards, Master. George Sibley</t>
  </si>
  <si>
    <t>Saad, Mr. Amin</t>
  </si>
  <si>
    <t>2671</t>
  </si>
  <si>
    <t>Augustsson, Mr. Albert</t>
  </si>
  <si>
    <t>347468</t>
  </si>
  <si>
    <t>Allum, Mr. Owen George</t>
  </si>
  <si>
    <t>2223</t>
  </si>
  <si>
    <t>Compton, Miss. Sara Rebecca</t>
  </si>
  <si>
    <t>PC 17756</t>
  </si>
  <si>
    <t>Pasic, Mr. Jakob</t>
  </si>
  <si>
    <t>315097</t>
  </si>
  <si>
    <t>Sirota, Mr. Maurice</t>
  </si>
  <si>
    <t>392092</t>
  </si>
  <si>
    <t>Chip, Mr. Chang</t>
  </si>
  <si>
    <t>Marechal, Mr. Pierre</t>
  </si>
  <si>
    <t>11774</t>
  </si>
  <si>
    <t>Alhomaki, Mr. Ilmari Rudolf</t>
  </si>
  <si>
    <t>SOTON/O2 3101287</t>
  </si>
  <si>
    <t>Mudd, Mr. Thomas Charles</t>
  </si>
  <si>
    <t>Serepeca, Miss. Augusta</t>
  </si>
  <si>
    <t>Lemberopolous, Mr. Peter L</t>
  </si>
  <si>
    <t>2683</t>
  </si>
  <si>
    <t>Culumovic, Mr. Jeso</t>
  </si>
  <si>
    <t>315090</t>
  </si>
  <si>
    <t>Abbing, Mr. Anthony</t>
  </si>
  <si>
    <t>C.A. 5547</t>
  </si>
  <si>
    <t>Sage, Mr. Douglas Bullen</t>
  </si>
  <si>
    <t>Markoff, Mr. Marin</t>
  </si>
  <si>
    <t>349213</t>
  </si>
  <si>
    <t>Harper, Rev. John</t>
  </si>
  <si>
    <t>Goldenberg, Mrs. Samuel L (Edwiga Grabowska)</t>
  </si>
  <si>
    <t>Andersson, Master. Sigvard Harald Elias</t>
  </si>
  <si>
    <t>Svensson, Mr. Johan</t>
  </si>
  <si>
    <t>347060</t>
  </si>
  <si>
    <t>Boulos, Miss. Nourelain</t>
  </si>
  <si>
    <t>Lines, Miss. Mary Conover</t>
  </si>
  <si>
    <t>PC 17592</t>
  </si>
  <si>
    <t>Carter, Mrs. Ernest Courtenay (Lilian Hughes)</t>
  </si>
  <si>
    <t>Aks, Mrs. Sam (Leah Rosen)</t>
  </si>
  <si>
    <t>392091</t>
  </si>
  <si>
    <t>Wick, Mrs. George Dennick (Mary Hitchcock)</t>
  </si>
  <si>
    <t xml:space="preserve">Daly, Mr. Peter Denis </t>
  </si>
  <si>
    <t>113055</t>
  </si>
  <si>
    <t>Baclini, Mrs. Solomon (Latifa Qurban)</t>
  </si>
  <si>
    <t>Razi, Mr. Raihed</t>
  </si>
  <si>
    <t>2629</t>
  </si>
  <si>
    <t>Hansen, Mr. Claus Peter</t>
  </si>
  <si>
    <t>350026</t>
  </si>
  <si>
    <t>Giles, Mr. Frederick Edward</t>
  </si>
  <si>
    <t>28134</t>
  </si>
  <si>
    <t>Swift, Mrs. Frederick Joel (Margaret Welles Barron)</t>
  </si>
  <si>
    <t>17466</t>
  </si>
  <si>
    <t>Sage, Miss. Dorothy Edith "Dolly"</t>
  </si>
  <si>
    <t>Gill, Mr. John William</t>
  </si>
  <si>
    <t>233866</t>
  </si>
  <si>
    <t>Bystrom, Mrs. (Karolina)</t>
  </si>
  <si>
    <t>236852</t>
  </si>
  <si>
    <t>Duran y More, Miss. Asuncion</t>
  </si>
  <si>
    <t>SC/PARIS 2149</t>
  </si>
  <si>
    <t>Roebling, Mr. Washington Augustus II</t>
  </si>
  <si>
    <t>PC 17590</t>
  </si>
  <si>
    <t>van Melkebeke, Mr. Philemon</t>
  </si>
  <si>
    <t>345777</t>
  </si>
  <si>
    <t>Johnson, Master. Harold Theodor</t>
  </si>
  <si>
    <t>Balkic, Mr. Cerin</t>
  </si>
  <si>
    <t>349248</t>
  </si>
  <si>
    <t>Beckwith, Mrs. Richard Leonard (Sallie Monypeny)</t>
  </si>
  <si>
    <t>Carlsson, Mr. Frans Olof</t>
  </si>
  <si>
    <t>695</t>
  </si>
  <si>
    <t>Vander Cruyssen, Mr. Victor</t>
  </si>
  <si>
    <t>345765</t>
  </si>
  <si>
    <t>Abelson, Mrs. Samuel (Hannah Wizosky)</t>
  </si>
  <si>
    <t>Najib, Miss. Adele Kiamie "Jane"</t>
  </si>
  <si>
    <t>2667</t>
  </si>
  <si>
    <t>Gustafsson, Mr. Alfred Ossian</t>
  </si>
  <si>
    <t>Petroff, Mr. Nedelio</t>
  </si>
  <si>
    <t>349212</t>
  </si>
  <si>
    <t>Laleff, Mr. Kristo</t>
  </si>
  <si>
    <t>349217</t>
  </si>
  <si>
    <t>Potter, Mrs. Thomas Jr (Lily Alexenia Wilson)</t>
  </si>
  <si>
    <t>Shelley, Mrs. William (Imanita Parrish Hall)</t>
  </si>
  <si>
    <t>Markun, Mr. Johann</t>
  </si>
  <si>
    <t>349257</t>
  </si>
  <si>
    <t>Dahlberg, Miss. Gerda Ulrika</t>
  </si>
  <si>
    <t>7552</t>
  </si>
  <si>
    <t>Banfield, Mr. Frederick James</t>
  </si>
  <si>
    <t>C.A./SOTON 34068</t>
  </si>
  <si>
    <t>Sutehall, Mr. Henry Jr</t>
  </si>
  <si>
    <t>SOTON/OQ 392076</t>
  </si>
  <si>
    <t>Rice, Mrs. William (Margaret Norton)</t>
  </si>
  <si>
    <t>Montvila, Rev. Juozas</t>
  </si>
  <si>
    <t>211536</t>
  </si>
  <si>
    <t>Graham, Miss. Margaret Edith</t>
  </si>
  <si>
    <t>112053</t>
  </si>
  <si>
    <t>Johnston, Miss. Catherine Helen "Carrie"</t>
  </si>
  <si>
    <t>Behr, Mr. Karl Howell</t>
  </si>
  <si>
    <t>111369</t>
  </si>
  <si>
    <t>Dooley, Mr. Patrick</t>
  </si>
  <si>
    <t>370376</t>
  </si>
  <si>
    <t>Formula</t>
  </si>
  <si>
    <t>Survival Status</t>
  </si>
  <si>
    <t>Age Group</t>
  </si>
  <si>
    <t>Family Size</t>
  </si>
  <si>
    <t>Family Group</t>
  </si>
  <si>
    <t>Fare Category</t>
  </si>
  <si>
    <t>Passenger Class</t>
  </si>
  <si>
    <t>Gender Code</t>
  </si>
  <si>
    <t>Section A. Dataset Statistics</t>
  </si>
  <si>
    <t>KPI</t>
  </si>
  <si>
    <t>Total Passengers</t>
  </si>
  <si>
    <t>Survivors</t>
  </si>
  <si>
    <t>Deaths</t>
  </si>
  <si>
    <t>Survival Rate</t>
  </si>
  <si>
    <t>Average Age</t>
  </si>
  <si>
    <t>Average Fare</t>
  </si>
  <si>
    <t>Average Family Size</t>
  </si>
  <si>
    <t>Male Passengers</t>
  </si>
  <si>
    <t>Female Passengers</t>
  </si>
  <si>
    <t>Section B. Descriptive Statistics</t>
  </si>
  <si>
    <t>Statistic</t>
  </si>
  <si>
    <t>Mean</t>
  </si>
  <si>
    <t>Median</t>
  </si>
  <si>
    <t>Minimum</t>
  </si>
  <si>
    <t>Maximum</t>
  </si>
  <si>
    <t>Standard Deviation</t>
  </si>
  <si>
    <t>Died</t>
  </si>
  <si>
    <t>Grand Total</t>
  </si>
  <si>
    <t>Young Adult</t>
  </si>
  <si>
    <t>Small Family</t>
  </si>
  <si>
    <t>Low Fare</t>
  </si>
  <si>
    <t>Third Class</t>
  </si>
  <si>
    <t>Adult</t>
  </si>
  <si>
    <t>Alone</t>
  </si>
  <si>
    <t>Medium Fare</t>
  </si>
  <si>
    <t>First Class</t>
  </si>
  <si>
    <t>Child</t>
  </si>
  <si>
    <t>Large Family</t>
  </si>
  <si>
    <t>Second Class</t>
  </si>
  <si>
    <t>High Fare</t>
  </si>
  <si>
    <t>Senior</t>
  </si>
  <si>
    <t>Passengers</t>
  </si>
  <si>
    <t>Titanic Survival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</si>
</sst>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5C]#,##0.00"/>
    <numFmt numFmtId="165" formatCode="0.0"/>
  </numFmts>
  <fonts count="8" x14ac:knownFonts="1">
    <font>
      <sz val="11"/>
      <color theme="1"/>
      <name val="Calibri"/>
      <family val="2"/>
      <scheme val="minor"/>
    </font>
    <font>
      <b/>
      <sz val="11"/>
      <color theme="0"/>
      <name val="Calibri"/>
      <family val="2"/>
      <scheme val="minor"/>
    </font>
    <font>
      <b/>
      <sz val="11"/>
      <color theme="1"/>
      <name val="Calibri"/>
      <family val="2"/>
      <scheme val="minor"/>
    </font>
    <font>
      <b/>
      <sz val="28"/>
      <color theme="0"/>
      <name val="Aptos"/>
      <family val="2"/>
    </font>
    <font>
      <b/>
      <sz val="34"/>
      <color theme="0"/>
      <name val="Aptos"/>
      <family val="2"/>
    </font>
    <font>
      <b/>
      <sz val="14"/>
      <color rgb="FF595959"/>
      <name val="Aptos"/>
      <family val="2"/>
    </font>
    <font>
      <b/>
      <sz val="26"/>
      <color theme="1"/>
      <name val="Aptos"/>
      <family val="2"/>
    </font>
    <font>
      <b/>
      <sz val="26"/>
      <color rgb="FF002060"/>
      <name val="Aptos"/>
      <family val="2"/>
    </font>
  </fonts>
  <fills count="12">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2060"/>
        <bgColor indexed="64"/>
      </patternFill>
    </fill>
    <fill>
      <patternFill patternType="solid">
        <fgColor theme="0"/>
        <bgColor indexed="64"/>
      </patternFill>
    </fill>
    <fill>
      <patternFill patternType="solid">
        <fgColor rgb="FFD9EAF7"/>
        <bgColor indexed="64"/>
      </patternFill>
    </fill>
    <fill>
      <patternFill patternType="solid">
        <fgColor rgb="FFE2F0D9"/>
        <bgColor indexed="64"/>
      </patternFill>
    </fill>
    <fill>
      <patternFill patternType="solid">
        <fgColor rgb="FFF8D7DA"/>
        <bgColor indexed="64"/>
      </patternFill>
    </fill>
    <fill>
      <patternFill patternType="solid">
        <fgColor rgb="FFFFF2CC"/>
        <bgColor indexed="64"/>
      </patternFill>
    </fill>
    <fill>
      <patternFill patternType="solid">
        <fgColor rgb="FFE4DFEC"/>
        <bgColor indexed="64"/>
      </patternFill>
    </fill>
    <fill>
      <patternFill patternType="solid">
        <fgColor rgb="FFFCE4D6"/>
        <bgColor indexed="64"/>
      </patternFill>
    </fill>
  </fills>
  <borders count="12">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68">
    <xf numFmtId="0" fontId="0" fillId="0" borderId="0" xfId="0"/>
    <xf numFmtId="0" fontId="0" fillId="3" borderId="1" xfId="0" applyFill="1" applyBorder="1"/>
    <xf numFmtId="0" fontId="0" fillId="3" borderId="2" xfId="0" applyFill="1" applyBorder="1"/>
    <xf numFmtId="0" fontId="0" fillId="3"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1" fillId="2" borderId="0" xfId="0" applyFont="1" applyFill="1"/>
    <xf numFmtId="1" fontId="1" fillId="2" borderId="0" xfId="0" applyNumberFormat="1" applyFont="1" applyFill="1"/>
    <xf numFmtId="1" fontId="0" fillId="3" borderId="5" xfId="0" applyNumberFormat="1" applyFill="1" applyBorder="1"/>
    <xf numFmtId="1" fontId="0" fillId="0" borderId="5" xfId="0" applyNumberFormat="1" applyBorder="1"/>
    <xf numFmtId="1" fontId="0" fillId="0" borderId="0" xfId="0" applyNumberFormat="1"/>
    <xf numFmtId="2" fontId="0" fillId="0" borderId="0" xfId="0" applyNumberFormat="1"/>
    <xf numFmtId="164" fontId="1" fillId="2" borderId="0" xfId="0" applyNumberFormat="1" applyFont="1" applyFill="1"/>
    <xf numFmtId="164" fontId="0" fillId="3" borderId="5" xfId="0" applyNumberFormat="1" applyFill="1" applyBorder="1"/>
    <xf numFmtId="164" fontId="0" fillId="0" borderId="5" xfId="0" applyNumberFormat="1" applyBorder="1"/>
    <xf numFmtId="164" fontId="0" fillId="0" borderId="0" xfId="0" applyNumberFormat="1"/>
    <xf numFmtId="165" fontId="1" fillId="2" borderId="0" xfId="0" applyNumberFormat="1" applyFont="1" applyFill="1"/>
    <xf numFmtId="165" fontId="0" fillId="3" borderId="5" xfId="0" applyNumberFormat="1" applyFill="1" applyBorder="1"/>
    <xf numFmtId="165" fontId="0" fillId="0" borderId="5" xfId="0" applyNumberFormat="1" applyBorder="1"/>
    <xf numFmtId="165" fontId="0" fillId="0" borderId="0" xfId="0" applyNumberFormat="1"/>
    <xf numFmtId="0" fontId="0" fillId="3" borderId="0" xfId="0" applyFill="1"/>
    <xf numFmtId="1" fontId="0" fillId="3" borderId="0" xfId="0" applyNumberFormat="1" applyFill="1"/>
    <xf numFmtId="10" fontId="0" fillId="0" borderId="0" xfId="0" applyNumberFormat="1"/>
    <xf numFmtId="0" fontId="0" fillId="0" borderId="0" xfId="0" pivotButton="1"/>
    <xf numFmtId="0" fontId="0" fillId="0" borderId="0" xfId="0" applyAlignment="1">
      <alignment horizontal="left"/>
    </xf>
    <xf numFmtId="0" fontId="4" fillId="4"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5" fillId="6" borderId="8" xfId="0" applyFont="1" applyFill="1" applyBorder="1" applyAlignment="1">
      <alignment horizontal="center"/>
    </xf>
    <xf numFmtId="0" fontId="5" fillId="6" borderId="9" xfId="0" applyFont="1" applyFill="1" applyBorder="1" applyAlignment="1">
      <alignment horizontal="center"/>
    </xf>
    <xf numFmtId="0" fontId="5" fillId="6" borderId="10" xfId="0" applyFont="1" applyFill="1" applyBorder="1" applyAlignment="1">
      <alignment horizontal="center"/>
    </xf>
    <xf numFmtId="0" fontId="5" fillId="11" borderId="8" xfId="0" applyFont="1" applyFill="1" applyBorder="1" applyAlignment="1">
      <alignment horizontal="center"/>
    </xf>
    <xf numFmtId="0" fontId="0" fillId="11" borderId="9" xfId="0" applyFill="1" applyBorder="1" applyAlignment="1">
      <alignment horizontal="center"/>
    </xf>
    <xf numFmtId="0" fontId="0" fillId="11" borderId="10" xfId="0" applyFill="1" applyBorder="1" applyAlignment="1">
      <alignment horizontal="center"/>
    </xf>
    <xf numFmtId="0" fontId="5" fillId="11" borderId="9" xfId="0" applyFont="1" applyFill="1" applyBorder="1" applyAlignment="1">
      <alignment horizontal="center"/>
    </xf>
    <xf numFmtId="0" fontId="5" fillId="11" borderId="10" xfId="0" applyFont="1" applyFill="1" applyBorder="1" applyAlignment="1">
      <alignment horizontal="center"/>
    </xf>
    <xf numFmtId="0" fontId="5" fillId="8" borderId="8" xfId="0" applyFont="1" applyFill="1" applyBorder="1" applyAlignment="1">
      <alignment horizontal="center"/>
    </xf>
    <xf numFmtId="0" fontId="2" fillId="8" borderId="9" xfId="0" applyFont="1" applyFill="1" applyBorder="1" applyAlignment="1">
      <alignment horizontal="center"/>
    </xf>
    <xf numFmtId="0" fontId="2" fillId="8" borderId="10" xfId="0" applyFont="1" applyFill="1" applyBorder="1" applyAlignment="1">
      <alignment horizontal="center"/>
    </xf>
    <xf numFmtId="0" fontId="5" fillId="9" borderId="8" xfId="0" applyFont="1" applyFill="1" applyBorder="1" applyAlignment="1">
      <alignment horizontal="center"/>
    </xf>
    <xf numFmtId="0" fontId="0" fillId="9" borderId="9" xfId="0" applyFill="1" applyBorder="1" applyAlignment="1">
      <alignment horizontal="center"/>
    </xf>
    <xf numFmtId="0" fontId="0" fillId="9" borderId="10" xfId="0" applyFill="1" applyBorder="1" applyAlignment="1">
      <alignment horizontal="center"/>
    </xf>
    <xf numFmtId="0" fontId="5" fillId="10" borderId="8" xfId="0" applyFont="1" applyFill="1" applyBorder="1" applyAlignment="1">
      <alignment horizontal="center"/>
    </xf>
    <xf numFmtId="0" fontId="0" fillId="10" borderId="9" xfId="0" applyFill="1" applyBorder="1" applyAlignment="1">
      <alignment horizontal="center"/>
    </xf>
    <xf numFmtId="0" fontId="0" fillId="10" borderId="10" xfId="0" applyFill="1" applyBorder="1" applyAlignment="1">
      <alignment horizontal="center"/>
    </xf>
    <xf numFmtId="0" fontId="0" fillId="0" borderId="0" xfId="0" applyAlignment="1">
      <alignment horizontal="center"/>
    </xf>
    <xf numFmtId="0" fontId="6" fillId="6" borderId="7" xfId="0" applyFont="1" applyFill="1" applyBorder="1" applyAlignment="1">
      <alignment horizontal="center" vertical="center"/>
    </xf>
    <xf numFmtId="0" fontId="6" fillId="6" borderId="11"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11"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11" xfId="0" applyFont="1" applyFill="1" applyBorder="1" applyAlignment="1">
      <alignment horizontal="center" vertical="center"/>
    </xf>
    <xf numFmtId="10" fontId="7" fillId="9" borderId="7" xfId="0" applyNumberFormat="1" applyFont="1" applyFill="1" applyBorder="1" applyAlignment="1">
      <alignment horizontal="center" vertical="center"/>
    </xf>
    <xf numFmtId="0" fontId="7" fillId="9" borderId="7" xfId="0" applyFont="1" applyFill="1" applyBorder="1" applyAlignment="1">
      <alignment horizontal="center" vertical="center"/>
    </xf>
    <xf numFmtId="0" fontId="7" fillId="9" borderId="11" xfId="0" applyFont="1" applyFill="1" applyBorder="1" applyAlignment="1">
      <alignment horizontal="center" vertical="center"/>
    </xf>
    <xf numFmtId="2" fontId="7" fillId="10" borderId="7" xfId="0" applyNumberFormat="1" applyFont="1" applyFill="1" applyBorder="1" applyAlignment="1">
      <alignment horizontal="center" vertical="center"/>
    </xf>
    <xf numFmtId="0" fontId="7" fillId="10" borderId="7" xfId="0" applyFont="1" applyFill="1" applyBorder="1" applyAlignment="1">
      <alignment horizontal="center" vertical="center"/>
    </xf>
    <xf numFmtId="0" fontId="7" fillId="10" borderId="11" xfId="0" applyFont="1" applyFill="1" applyBorder="1" applyAlignment="1">
      <alignment horizontal="center" vertical="center"/>
    </xf>
    <xf numFmtId="2" fontId="7" fillId="11" borderId="7" xfId="0" applyNumberFormat="1" applyFont="1" applyFill="1" applyBorder="1" applyAlignment="1">
      <alignment horizontal="center" vertical="center"/>
    </xf>
    <xf numFmtId="0" fontId="7" fillId="11" borderId="7" xfId="0" applyFont="1" applyFill="1" applyBorder="1" applyAlignment="1">
      <alignment horizontal="center" vertical="center"/>
    </xf>
    <xf numFmtId="0" fontId="7" fillId="11" borderId="11" xfId="0" applyFont="1" applyFill="1" applyBorder="1" applyAlignment="1">
      <alignment horizontal="center" vertical="center"/>
    </xf>
  </cellXfs>
  <cellStyles count="1">
    <cellStyle name="Normal" xfId="0" builtinId="0"/>
  </cellStyles>
  <dxfs count="24">
    <dxf>
      <fill>
        <patternFill>
          <bgColor theme="5"/>
        </patternFill>
      </fill>
    </dxf>
    <dxf>
      <fill>
        <patternFill>
          <bgColor rgb="FF00B050"/>
        </patternFill>
      </fill>
    </dxf>
    <dxf>
      <fill>
        <patternFill>
          <bgColor rgb="FFFF0000"/>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minor"/>
      </font>
      <numFmt numFmtId="164" formatCode="[$$-45C]#,##0.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0.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i val="0"/>
        <sz val="12"/>
        <name val="Aptos"/>
        <family val="2"/>
        <scheme val="none"/>
      </font>
    </dxf>
  </dxfs>
  <tableStyles count="1" defaultTableStyle="TableStyleMedium2" defaultPivotStyle="PivotStyleLight16">
    <tableStyle name="Slicer Style 1" pivot="0" table="0" count="1" xr9:uid="{7A47C130-5CD4-4F18-B915-70284CC61BE1}">
      <tableStyleElement type="headerRow" dxfId="23"/>
    </tableStyle>
  </tableStyles>
  <colors>
    <mruColors>
      <color rgb="FFE7E6E6"/>
      <color rgb="FFDDEBF7"/>
      <color rgb="FFFCE4D6"/>
      <color rgb="FF595959"/>
      <color rgb="FFE4DFEC"/>
      <color rgb="FFFFF2CC"/>
      <color rgb="FFF8D7DA"/>
      <color rgb="FFD9EAF7"/>
      <color rgb="FFE2F0D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Survival</a:t>
            </a:r>
            <a:r>
              <a:rPr lang="en-US" baseline="0"/>
              <a:t> Overview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E5-497B-8B5B-97DE45FD60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E5-497B-8B5B-97DE45FD60C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PivotTables!$A$4:$A$6</c:f>
              <c:strCache>
                <c:ptCount val="2"/>
                <c:pt idx="0">
                  <c:v>Died</c:v>
                </c:pt>
                <c:pt idx="1">
                  <c:v>Survived</c:v>
                </c:pt>
              </c:strCache>
            </c:strRef>
          </c:cat>
          <c:val>
            <c:numRef>
              <c:f>PivotTables!$B$4:$B$6</c:f>
              <c:numCache>
                <c:formatCode>General</c:formatCode>
                <c:ptCount val="2"/>
                <c:pt idx="0">
                  <c:v>549</c:v>
                </c:pt>
                <c:pt idx="1">
                  <c:v>342</c:v>
                </c:pt>
              </c:numCache>
            </c:numRef>
          </c:val>
          <c:extLst>
            <c:ext xmlns:c16="http://schemas.microsoft.com/office/drawing/2014/chart" uri="{C3380CC4-5D6E-409C-BE32-E72D297353CC}">
              <c16:uniqueId val="{00000000-E165-4C79-B9CD-08C08BEDA2F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Survival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PivotTables!$B$9:$B$10</c:f>
              <c:strCache>
                <c:ptCount val="1"/>
                <c:pt idx="0">
                  <c:v>Died</c:v>
                </c:pt>
              </c:strCache>
            </c:strRef>
          </c:tx>
          <c:spPr>
            <a:solidFill>
              <a:schemeClr val="accent1"/>
            </a:solidFill>
            <a:ln>
              <a:noFill/>
            </a:ln>
            <a:effectLst/>
          </c:spPr>
          <c:invertIfNegative val="0"/>
          <c:cat>
            <c:strRef>
              <c:f>PivotTables!$A$11:$A$13</c:f>
              <c:strCache>
                <c:ptCount val="2"/>
                <c:pt idx="0">
                  <c:v>female</c:v>
                </c:pt>
                <c:pt idx="1">
                  <c:v>male</c:v>
                </c:pt>
              </c:strCache>
            </c:strRef>
          </c:cat>
          <c:val>
            <c:numRef>
              <c:f>PivotTables!$B$11:$B$13</c:f>
              <c:numCache>
                <c:formatCode>General</c:formatCode>
                <c:ptCount val="2"/>
                <c:pt idx="0">
                  <c:v>81</c:v>
                </c:pt>
                <c:pt idx="1">
                  <c:v>468</c:v>
                </c:pt>
              </c:numCache>
            </c:numRef>
          </c:val>
          <c:extLst>
            <c:ext xmlns:c16="http://schemas.microsoft.com/office/drawing/2014/chart" uri="{C3380CC4-5D6E-409C-BE32-E72D297353CC}">
              <c16:uniqueId val="{00000000-7A96-4A2D-BA7B-79310AC1D232}"/>
            </c:ext>
          </c:extLst>
        </c:ser>
        <c:ser>
          <c:idx val="1"/>
          <c:order val="1"/>
          <c:tx>
            <c:strRef>
              <c:f>PivotTables!$C$9:$C$10</c:f>
              <c:strCache>
                <c:ptCount val="1"/>
                <c:pt idx="0">
                  <c:v>Survived</c:v>
                </c:pt>
              </c:strCache>
            </c:strRef>
          </c:tx>
          <c:spPr>
            <a:solidFill>
              <a:schemeClr val="accent2"/>
            </a:solidFill>
            <a:ln>
              <a:noFill/>
            </a:ln>
            <a:effectLst/>
          </c:spPr>
          <c:invertIfNegative val="0"/>
          <c:cat>
            <c:strRef>
              <c:f>PivotTables!$A$11:$A$13</c:f>
              <c:strCache>
                <c:ptCount val="2"/>
                <c:pt idx="0">
                  <c:v>female</c:v>
                </c:pt>
                <c:pt idx="1">
                  <c:v>male</c:v>
                </c:pt>
              </c:strCache>
            </c:strRef>
          </c:cat>
          <c:val>
            <c:numRef>
              <c:f>PivotTables!$C$11:$C$13</c:f>
              <c:numCache>
                <c:formatCode>General</c:formatCode>
                <c:ptCount val="2"/>
                <c:pt idx="0">
                  <c:v>233</c:v>
                </c:pt>
                <c:pt idx="1">
                  <c:v>109</c:v>
                </c:pt>
              </c:numCache>
            </c:numRef>
          </c:val>
          <c:extLst>
            <c:ext xmlns:c16="http://schemas.microsoft.com/office/drawing/2014/chart" uri="{C3380CC4-5D6E-409C-BE32-E72D297353CC}">
              <c16:uniqueId val="{00000001-7A96-4A2D-BA7B-79310AC1D232}"/>
            </c:ext>
          </c:extLst>
        </c:ser>
        <c:dLbls>
          <c:showLegendKey val="0"/>
          <c:showVal val="0"/>
          <c:showCatName val="0"/>
          <c:showSerName val="0"/>
          <c:showPercent val="0"/>
          <c:showBubbleSize val="0"/>
        </c:dLbls>
        <c:gapWidth val="219"/>
        <c:overlap val="-27"/>
        <c:axId val="1696500592"/>
        <c:axId val="1600440176"/>
      </c:barChart>
      <c:catAx>
        <c:axId val="16965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40176"/>
        <c:crosses val="autoZero"/>
        <c:auto val="1"/>
        <c:lblAlgn val="ctr"/>
        <c:lblOffset val="100"/>
        <c:noMultiLvlLbl val="0"/>
      </c:catAx>
      <c:valAx>
        <c:axId val="160044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0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Passenger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PivotTables!$B$16:$B$17</c:f>
              <c:strCache>
                <c:ptCount val="1"/>
                <c:pt idx="0">
                  <c:v>Died</c:v>
                </c:pt>
              </c:strCache>
            </c:strRef>
          </c:tx>
          <c:spPr>
            <a:solidFill>
              <a:schemeClr val="accent1"/>
            </a:solidFill>
            <a:ln>
              <a:noFill/>
            </a:ln>
            <a:effectLst/>
          </c:spPr>
          <c:invertIfNegative val="0"/>
          <c:cat>
            <c:strRef>
              <c:f>PivotTables!$A$18:$A$21</c:f>
              <c:strCache>
                <c:ptCount val="3"/>
                <c:pt idx="0">
                  <c:v>First Class</c:v>
                </c:pt>
                <c:pt idx="1">
                  <c:v>Second Class</c:v>
                </c:pt>
                <c:pt idx="2">
                  <c:v>Third Class</c:v>
                </c:pt>
              </c:strCache>
            </c:strRef>
          </c:cat>
          <c:val>
            <c:numRef>
              <c:f>PivotTables!$B$18:$B$21</c:f>
              <c:numCache>
                <c:formatCode>General</c:formatCode>
                <c:ptCount val="3"/>
                <c:pt idx="0">
                  <c:v>80</c:v>
                </c:pt>
                <c:pt idx="1">
                  <c:v>97</c:v>
                </c:pt>
                <c:pt idx="2">
                  <c:v>372</c:v>
                </c:pt>
              </c:numCache>
            </c:numRef>
          </c:val>
          <c:extLst>
            <c:ext xmlns:c16="http://schemas.microsoft.com/office/drawing/2014/chart" uri="{C3380CC4-5D6E-409C-BE32-E72D297353CC}">
              <c16:uniqueId val="{00000000-2CAD-4CCF-9D0D-84D24C3D525F}"/>
            </c:ext>
          </c:extLst>
        </c:ser>
        <c:ser>
          <c:idx val="1"/>
          <c:order val="1"/>
          <c:tx>
            <c:strRef>
              <c:f>PivotTables!$C$16:$C$17</c:f>
              <c:strCache>
                <c:ptCount val="1"/>
                <c:pt idx="0">
                  <c:v>Survived</c:v>
                </c:pt>
              </c:strCache>
            </c:strRef>
          </c:tx>
          <c:spPr>
            <a:solidFill>
              <a:schemeClr val="accent2"/>
            </a:solidFill>
            <a:ln>
              <a:noFill/>
            </a:ln>
            <a:effectLst/>
          </c:spPr>
          <c:invertIfNegative val="0"/>
          <c:cat>
            <c:strRef>
              <c:f>PivotTables!$A$18:$A$21</c:f>
              <c:strCache>
                <c:ptCount val="3"/>
                <c:pt idx="0">
                  <c:v>First Class</c:v>
                </c:pt>
                <c:pt idx="1">
                  <c:v>Second Class</c:v>
                </c:pt>
                <c:pt idx="2">
                  <c:v>Third Class</c:v>
                </c:pt>
              </c:strCache>
            </c:strRef>
          </c:cat>
          <c:val>
            <c:numRef>
              <c:f>PivotTables!$C$18:$C$21</c:f>
              <c:numCache>
                <c:formatCode>General</c:formatCode>
                <c:ptCount val="3"/>
                <c:pt idx="0">
                  <c:v>136</c:v>
                </c:pt>
                <c:pt idx="1">
                  <c:v>87</c:v>
                </c:pt>
                <c:pt idx="2">
                  <c:v>119</c:v>
                </c:pt>
              </c:numCache>
            </c:numRef>
          </c:val>
          <c:extLst>
            <c:ext xmlns:c16="http://schemas.microsoft.com/office/drawing/2014/chart" uri="{C3380CC4-5D6E-409C-BE32-E72D297353CC}">
              <c16:uniqueId val="{00000001-2CAD-4CCF-9D0D-84D24C3D525F}"/>
            </c:ext>
          </c:extLst>
        </c:ser>
        <c:dLbls>
          <c:showLegendKey val="0"/>
          <c:showVal val="0"/>
          <c:showCatName val="0"/>
          <c:showSerName val="0"/>
          <c:showPercent val="0"/>
          <c:showBubbleSize val="0"/>
        </c:dLbls>
        <c:gapWidth val="150"/>
        <c:overlap val="100"/>
        <c:axId val="1696519152"/>
        <c:axId val="1600396976"/>
      </c:barChart>
      <c:catAx>
        <c:axId val="169651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96976"/>
        <c:crosses val="autoZero"/>
        <c:auto val="1"/>
        <c:lblAlgn val="ctr"/>
        <c:lblOffset val="100"/>
        <c:noMultiLvlLbl val="0"/>
      </c:catAx>
      <c:valAx>
        <c:axId val="160039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1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PivotTables!$B$24:$B$25</c:f>
              <c:strCache>
                <c:ptCount val="1"/>
                <c:pt idx="0">
                  <c:v>Died</c:v>
                </c:pt>
              </c:strCache>
            </c:strRef>
          </c:tx>
          <c:spPr>
            <a:solidFill>
              <a:schemeClr val="accent1"/>
            </a:solidFill>
            <a:ln>
              <a:noFill/>
            </a:ln>
            <a:effectLst/>
          </c:spPr>
          <c:invertIfNegative val="0"/>
          <c:cat>
            <c:strRef>
              <c:f>PivotTables!$A$26:$A$30</c:f>
              <c:strCache>
                <c:ptCount val="4"/>
                <c:pt idx="0">
                  <c:v>Adult</c:v>
                </c:pt>
                <c:pt idx="1">
                  <c:v>Child</c:v>
                </c:pt>
                <c:pt idx="2">
                  <c:v>Senior</c:v>
                </c:pt>
                <c:pt idx="3">
                  <c:v>Young Adult</c:v>
                </c:pt>
              </c:strCache>
            </c:strRef>
          </c:cat>
          <c:val>
            <c:numRef>
              <c:f>PivotTables!$B$26:$B$30</c:f>
              <c:numCache>
                <c:formatCode>General</c:formatCode>
                <c:ptCount val="4"/>
                <c:pt idx="0">
                  <c:v>122</c:v>
                </c:pt>
                <c:pt idx="1">
                  <c:v>52</c:v>
                </c:pt>
                <c:pt idx="2">
                  <c:v>19</c:v>
                </c:pt>
                <c:pt idx="3">
                  <c:v>356</c:v>
                </c:pt>
              </c:numCache>
            </c:numRef>
          </c:val>
          <c:extLst>
            <c:ext xmlns:c16="http://schemas.microsoft.com/office/drawing/2014/chart" uri="{C3380CC4-5D6E-409C-BE32-E72D297353CC}">
              <c16:uniqueId val="{00000000-88A8-45D1-891B-51B26A72C709}"/>
            </c:ext>
          </c:extLst>
        </c:ser>
        <c:ser>
          <c:idx val="1"/>
          <c:order val="1"/>
          <c:tx>
            <c:strRef>
              <c:f>PivotTables!$C$24:$C$25</c:f>
              <c:strCache>
                <c:ptCount val="1"/>
                <c:pt idx="0">
                  <c:v>Survived</c:v>
                </c:pt>
              </c:strCache>
            </c:strRef>
          </c:tx>
          <c:spPr>
            <a:solidFill>
              <a:schemeClr val="accent2"/>
            </a:solidFill>
            <a:ln>
              <a:noFill/>
            </a:ln>
            <a:effectLst/>
          </c:spPr>
          <c:invertIfNegative val="0"/>
          <c:cat>
            <c:strRef>
              <c:f>PivotTables!$A$26:$A$30</c:f>
              <c:strCache>
                <c:ptCount val="4"/>
                <c:pt idx="0">
                  <c:v>Adult</c:v>
                </c:pt>
                <c:pt idx="1">
                  <c:v>Child</c:v>
                </c:pt>
                <c:pt idx="2">
                  <c:v>Senior</c:v>
                </c:pt>
                <c:pt idx="3">
                  <c:v>Young Adult</c:v>
                </c:pt>
              </c:strCache>
            </c:strRef>
          </c:cat>
          <c:val>
            <c:numRef>
              <c:f>PivotTables!$C$26:$C$30</c:f>
              <c:numCache>
                <c:formatCode>General</c:formatCode>
                <c:ptCount val="4"/>
                <c:pt idx="0">
                  <c:v>87</c:v>
                </c:pt>
                <c:pt idx="1">
                  <c:v>61</c:v>
                </c:pt>
                <c:pt idx="2">
                  <c:v>7</c:v>
                </c:pt>
                <c:pt idx="3">
                  <c:v>187</c:v>
                </c:pt>
              </c:numCache>
            </c:numRef>
          </c:val>
          <c:extLst>
            <c:ext xmlns:c16="http://schemas.microsoft.com/office/drawing/2014/chart" uri="{C3380CC4-5D6E-409C-BE32-E72D297353CC}">
              <c16:uniqueId val="{00000001-88A8-45D1-891B-51B26A72C709}"/>
            </c:ext>
          </c:extLst>
        </c:ser>
        <c:dLbls>
          <c:showLegendKey val="0"/>
          <c:showVal val="0"/>
          <c:showCatName val="0"/>
          <c:showSerName val="0"/>
          <c:showPercent val="0"/>
          <c:showBubbleSize val="0"/>
        </c:dLbls>
        <c:gapWidth val="182"/>
        <c:axId val="1777918192"/>
        <c:axId val="1600405616"/>
      </c:barChart>
      <c:catAx>
        <c:axId val="177791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05616"/>
        <c:crosses val="autoZero"/>
        <c:auto val="1"/>
        <c:lblAlgn val="ctr"/>
        <c:lblOffset val="100"/>
        <c:noMultiLvlLbl val="0"/>
      </c:catAx>
      <c:valAx>
        <c:axId val="1600405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1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Family</a:t>
            </a:r>
            <a:r>
              <a:rPr lang="en-PH" baseline="0"/>
              <a:t> Group</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PivotTables!$B$33:$B$34</c:f>
              <c:strCache>
                <c:ptCount val="1"/>
                <c:pt idx="0">
                  <c:v>Died</c:v>
                </c:pt>
              </c:strCache>
            </c:strRef>
          </c:tx>
          <c:spPr>
            <a:solidFill>
              <a:schemeClr val="accent1"/>
            </a:solidFill>
            <a:ln>
              <a:noFill/>
            </a:ln>
            <a:effectLst/>
          </c:spPr>
          <c:invertIfNegative val="0"/>
          <c:cat>
            <c:strRef>
              <c:f>PivotTables!$A$35:$A$38</c:f>
              <c:strCache>
                <c:ptCount val="3"/>
                <c:pt idx="0">
                  <c:v>Alone</c:v>
                </c:pt>
                <c:pt idx="1">
                  <c:v>Large Family</c:v>
                </c:pt>
                <c:pt idx="2">
                  <c:v>Small Family</c:v>
                </c:pt>
              </c:strCache>
            </c:strRef>
          </c:cat>
          <c:val>
            <c:numRef>
              <c:f>PivotTables!$B$35:$B$38</c:f>
              <c:numCache>
                <c:formatCode>General</c:formatCode>
                <c:ptCount val="3"/>
                <c:pt idx="0">
                  <c:v>374</c:v>
                </c:pt>
                <c:pt idx="1">
                  <c:v>52</c:v>
                </c:pt>
                <c:pt idx="2">
                  <c:v>123</c:v>
                </c:pt>
              </c:numCache>
            </c:numRef>
          </c:val>
          <c:extLst>
            <c:ext xmlns:c16="http://schemas.microsoft.com/office/drawing/2014/chart" uri="{C3380CC4-5D6E-409C-BE32-E72D297353CC}">
              <c16:uniqueId val="{00000000-1184-453C-AD92-3CCD624BE09D}"/>
            </c:ext>
          </c:extLst>
        </c:ser>
        <c:ser>
          <c:idx val="1"/>
          <c:order val="1"/>
          <c:tx>
            <c:strRef>
              <c:f>PivotTables!$C$33:$C$34</c:f>
              <c:strCache>
                <c:ptCount val="1"/>
                <c:pt idx="0">
                  <c:v>Survived</c:v>
                </c:pt>
              </c:strCache>
            </c:strRef>
          </c:tx>
          <c:spPr>
            <a:solidFill>
              <a:schemeClr val="accent2"/>
            </a:solidFill>
            <a:ln>
              <a:noFill/>
            </a:ln>
            <a:effectLst/>
          </c:spPr>
          <c:invertIfNegative val="0"/>
          <c:cat>
            <c:strRef>
              <c:f>PivotTables!$A$35:$A$38</c:f>
              <c:strCache>
                <c:ptCount val="3"/>
                <c:pt idx="0">
                  <c:v>Alone</c:v>
                </c:pt>
                <c:pt idx="1">
                  <c:v>Large Family</c:v>
                </c:pt>
                <c:pt idx="2">
                  <c:v>Small Family</c:v>
                </c:pt>
              </c:strCache>
            </c:strRef>
          </c:cat>
          <c:val>
            <c:numRef>
              <c:f>PivotTables!$C$35:$C$38</c:f>
              <c:numCache>
                <c:formatCode>General</c:formatCode>
                <c:ptCount val="3"/>
                <c:pt idx="0">
                  <c:v>163</c:v>
                </c:pt>
                <c:pt idx="1">
                  <c:v>10</c:v>
                </c:pt>
                <c:pt idx="2">
                  <c:v>169</c:v>
                </c:pt>
              </c:numCache>
            </c:numRef>
          </c:val>
          <c:extLst>
            <c:ext xmlns:c16="http://schemas.microsoft.com/office/drawing/2014/chart" uri="{C3380CC4-5D6E-409C-BE32-E72D297353CC}">
              <c16:uniqueId val="{00000001-1184-453C-AD92-3CCD624BE09D}"/>
            </c:ext>
          </c:extLst>
        </c:ser>
        <c:dLbls>
          <c:showLegendKey val="0"/>
          <c:showVal val="0"/>
          <c:showCatName val="0"/>
          <c:showSerName val="0"/>
          <c:showPercent val="0"/>
          <c:showBubbleSize val="0"/>
        </c:dLbls>
        <c:gapWidth val="219"/>
        <c:overlap val="-27"/>
        <c:axId val="1777938608"/>
        <c:axId val="1600417616"/>
      </c:barChart>
      <c:catAx>
        <c:axId val="177793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17616"/>
        <c:crosses val="autoZero"/>
        <c:auto val="1"/>
        <c:lblAlgn val="ctr"/>
        <c:lblOffset val="100"/>
        <c:noMultiLvlLbl val="0"/>
      </c:catAx>
      <c:valAx>
        <c:axId val="160041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3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Fare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PivotTables!$B$41:$B$42</c:f>
              <c:strCache>
                <c:ptCount val="1"/>
                <c:pt idx="0">
                  <c:v>Died</c:v>
                </c:pt>
              </c:strCache>
            </c:strRef>
          </c:tx>
          <c:spPr>
            <a:solidFill>
              <a:schemeClr val="accent1"/>
            </a:solidFill>
            <a:ln>
              <a:noFill/>
            </a:ln>
            <a:effectLst/>
          </c:spPr>
          <c:invertIfNegative val="0"/>
          <c:cat>
            <c:strRef>
              <c:f>PivotTables!$A$43:$A$46</c:f>
              <c:strCache>
                <c:ptCount val="3"/>
                <c:pt idx="0">
                  <c:v>High Fare</c:v>
                </c:pt>
                <c:pt idx="1">
                  <c:v>Low Fare</c:v>
                </c:pt>
                <c:pt idx="2">
                  <c:v>Medium Fare</c:v>
                </c:pt>
              </c:strCache>
            </c:strRef>
          </c:cat>
          <c:val>
            <c:numRef>
              <c:f>PivotTables!$B$43:$B$46</c:f>
              <c:numCache>
                <c:formatCode>General</c:formatCode>
                <c:ptCount val="3"/>
                <c:pt idx="0">
                  <c:v>14</c:v>
                </c:pt>
                <c:pt idx="1">
                  <c:v>397</c:v>
                </c:pt>
                <c:pt idx="2">
                  <c:v>138</c:v>
                </c:pt>
              </c:numCache>
            </c:numRef>
          </c:val>
          <c:extLst>
            <c:ext xmlns:c16="http://schemas.microsoft.com/office/drawing/2014/chart" uri="{C3380CC4-5D6E-409C-BE32-E72D297353CC}">
              <c16:uniqueId val="{00000000-5FCF-40CC-B938-4F20554E9F79}"/>
            </c:ext>
          </c:extLst>
        </c:ser>
        <c:ser>
          <c:idx val="1"/>
          <c:order val="1"/>
          <c:tx>
            <c:strRef>
              <c:f>PivotTables!$C$41:$C$42</c:f>
              <c:strCache>
                <c:ptCount val="1"/>
                <c:pt idx="0">
                  <c:v>Survived</c:v>
                </c:pt>
              </c:strCache>
            </c:strRef>
          </c:tx>
          <c:spPr>
            <a:solidFill>
              <a:schemeClr val="accent2"/>
            </a:solidFill>
            <a:ln>
              <a:noFill/>
            </a:ln>
            <a:effectLst/>
          </c:spPr>
          <c:invertIfNegative val="0"/>
          <c:cat>
            <c:strRef>
              <c:f>PivotTables!$A$43:$A$46</c:f>
              <c:strCache>
                <c:ptCount val="3"/>
                <c:pt idx="0">
                  <c:v>High Fare</c:v>
                </c:pt>
                <c:pt idx="1">
                  <c:v>Low Fare</c:v>
                </c:pt>
                <c:pt idx="2">
                  <c:v>Medium Fare</c:v>
                </c:pt>
              </c:strCache>
            </c:strRef>
          </c:cat>
          <c:val>
            <c:numRef>
              <c:f>PivotTables!$C$43:$C$46</c:f>
              <c:numCache>
                <c:formatCode>General</c:formatCode>
                <c:ptCount val="3"/>
                <c:pt idx="0">
                  <c:v>39</c:v>
                </c:pt>
                <c:pt idx="1">
                  <c:v>160</c:v>
                </c:pt>
                <c:pt idx="2">
                  <c:v>143</c:v>
                </c:pt>
              </c:numCache>
            </c:numRef>
          </c:val>
          <c:extLst>
            <c:ext xmlns:c16="http://schemas.microsoft.com/office/drawing/2014/chart" uri="{C3380CC4-5D6E-409C-BE32-E72D297353CC}">
              <c16:uniqueId val="{00000001-5FCF-40CC-B938-4F20554E9F79}"/>
            </c:ext>
          </c:extLst>
        </c:ser>
        <c:dLbls>
          <c:showLegendKey val="0"/>
          <c:showVal val="0"/>
          <c:showCatName val="0"/>
          <c:showSerName val="0"/>
          <c:showPercent val="0"/>
          <c:showBubbleSize val="0"/>
        </c:dLbls>
        <c:gapWidth val="219"/>
        <c:overlap val="-27"/>
        <c:axId val="1696527504"/>
        <c:axId val="1600358096"/>
      </c:barChart>
      <c:catAx>
        <c:axId val="16965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58096"/>
        <c:crosses val="autoZero"/>
        <c:auto val="1"/>
        <c:lblAlgn val="ctr"/>
        <c:lblOffset val="100"/>
        <c:noMultiLvlLbl val="0"/>
      </c:catAx>
      <c:valAx>
        <c:axId val="160035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rgbClr val="002060"/>
                </a:solidFill>
                <a:latin typeface="Aptos" panose="020B0004020202020204" pitchFamily="34" charset="0"/>
              </a:rPr>
              <a:t>Survival Overview</a:t>
            </a:r>
            <a:endParaRPr lang="en-US" sz="140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w="19050">
            <a:solidFill>
              <a:schemeClr val="lt1"/>
            </a:solidFill>
          </a:ln>
          <a:effectLst/>
        </c:spPr>
      </c:pivotFmt>
      <c:pivotFmt>
        <c:idx val="6"/>
        <c:spPr>
          <a:solidFill>
            <a:srgbClr val="92D050"/>
          </a:solidFill>
          <a:ln w="19050">
            <a:solidFill>
              <a:schemeClr val="lt1"/>
            </a:solidFill>
          </a:ln>
          <a:effectLst/>
        </c:spPr>
      </c:pivotFmt>
    </c:pivotFmts>
    <c:plotArea>
      <c:layout/>
      <c:doughnutChart>
        <c:varyColors val="1"/>
        <c:ser>
          <c:idx val="0"/>
          <c:order val="0"/>
          <c:tx>
            <c:strRef>
              <c:f>PivotTables!$B$3</c:f>
              <c:strCache>
                <c:ptCount val="1"/>
                <c:pt idx="0">
                  <c:v>Total</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E796-49C6-AA42-D4510E38351D}"/>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E796-49C6-AA42-D4510E38351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PivotTables!$A$4:$A$6</c:f>
              <c:strCache>
                <c:ptCount val="2"/>
                <c:pt idx="0">
                  <c:v>Died</c:v>
                </c:pt>
                <c:pt idx="1">
                  <c:v>Survived</c:v>
                </c:pt>
              </c:strCache>
            </c:strRef>
          </c:cat>
          <c:val>
            <c:numRef>
              <c:f>PivotTables!$B$4:$B$6</c:f>
              <c:numCache>
                <c:formatCode>General</c:formatCode>
                <c:ptCount val="2"/>
                <c:pt idx="0">
                  <c:v>549</c:v>
                </c:pt>
                <c:pt idx="1">
                  <c:v>342</c:v>
                </c:pt>
              </c:numCache>
            </c:numRef>
          </c:val>
          <c:extLst>
            <c:ext xmlns:c16="http://schemas.microsoft.com/office/drawing/2014/chart" uri="{C3380CC4-5D6E-409C-BE32-E72D297353CC}">
              <c16:uniqueId val="{00000004-E796-49C6-AA42-D4510E38351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PH" b="1">
                <a:solidFill>
                  <a:srgbClr val="002060"/>
                </a:solidFill>
                <a:latin typeface="Aptos" panose="020B0004020202020204" pitchFamily="34" charset="0"/>
              </a:rPr>
              <a:t>Survival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PivotTables!$B$9:$B$10</c:f>
              <c:strCache>
                <c:ptCount val="1"/>
                <c:pt idx="0">
                  <c:v>Died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PivotTables!$A$11:$A$13</c:f>
              <c:strCache>
                <c:ptCount val="2"/>
                <c:pt idx="0">
                  <c:v>female</c:v>
                </c:pt>
                <c:pt idx="1">
                  <c:v>male</c:v>
                </c:pt>
              </c:strCache>
            </c:strRef>
          </c:cat>
          <c:val>
            <c:numRef>
              <c:f>PivotTables!$B$11:$B$13</c:f>
              <c:numCache>
                <c:formatCode>General</c:formatCode>
                <c:ptCount val="2"/>
                <c:pt idx="0">
                  <c:v>81</c:v>
                </c:pt>
                <c:pt idx="1">
                  <c:v>468</c:v>
                </c:pt>
              </c:numCache>
            </c:numRef>
          </c:val>
          <c:extLst>
            <c:ext xmlns:c16="http://schemas.microsoft.com/office/drawing/2014/chart" uri="{C3380CC4-5D6E-409C-BE32-E72D297353CC}">
              <c16:uniqueId val="{00000000-6818-4FD8-B91B-7ACB619B80F6}"/>
            </c:ext>
          </c:extLst>
        </c:ser>
        <c:ser>
          <c:idx val="1"/>
          <c:order val="1"/>
          <c:tx>
            <c:strRef>
              <c:f>PivotTables!$C$9:$C$10</c:f>
              <c:strCache>
                <c:ptCount val="1"/>
                <c:pt idx="0">
                  <c:v>Survived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PivotTables!$A$11:$A$13</c:f>
              <c:strCache>
                <c:ptCount val="2"/>
                <c:pt idx="0">
                  <c:v>female</c:v>
                </c:pt>
                <c:pt idx="1">
                  <c:v>male</c:v>
                </c:pt>
              </c:strCache>
            </c:strRef>
          </c:cat>
          <c:val>
            <c:numRef>
              <c:f>PivotTables!$C$11:$C$13</c:f>
              <c:numCache>
                <c:formatCode>General</c:formatCode>
                <c:ptCount val="2"/>
                <c:pt idx="0">
                  <c:v>233</c:v>
                </c:pt>
                <c:pt idx="1">
                  <c:v>109</c:v>
                </c:pt>
              </c:numCache>
            </c:numRef>
          </c:val>
          <c:extLst>
            <c:ext xmlns:c16="http://schemas.microsoft.com/office/drawing/2014/chart" uri="{C3380CC4-5D6E-409C-BE32-E72D297353CC}">
              <c16:uniqueId val="{00000001-6818-4FD8-B91B-7ACB619B80F6}"/>
            </c:ext>
          </c:extLst>
        </c:ser>
        <c:dLbls>
          <c:dLblPos val="outEnd"/>
          <c:showLegendKey val="0"/>
          <c:showVal val="1"/>
          <c:showCatName val="0"/>
          <c:showSerName val="0"/>
          <c:showPercent val="0"/>
          <c:showBubbleSize val="0"/>
        </c:dLbls>
        <c:gapWidth val="219"/>
        <c:overlap val="-27"/>
        <c:axId val="1696500592"/>
        <c:axId val="1600440176"/>
      </c:barChart>
      <c:catAx>
        <c:axId val="16965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40176"/>
        <c:crosses val="autoZero"/>
        <c:auto val="1"/>
        <c:lblAlgn val="ctr"/>
        <c:lblOffset val="100"/>
        <c:noMultiLvlLbl val="0"/>
      </c:catAx>
      <c:valAx>
        <c:axId val="160044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0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PH" b="1">
                <a:solidFill>
                  <a:srgbClr val="002060"/>
                </a:solidFill>
                <a:latin typeface="Aptos" panose="020B0004020202020204" pitchFamily="34" charset="0"/>
              </a:rPr>
              <a:t>Survival by Passenger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PivotTables!$B$16:$B$17</c:f>
              <c:strCache>
                <c:ptCount val="1"/>
                <c:pt idx="0">
                  <c:v>Died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PivotTables!$A$18:$A$21</c:f>
              <c:strCache>
                <c:ptCount val="3"/>
                <c:pt idx="0">
                  <c:v>First Class</c:v>
                </c:pt>
                <c:pt idx="1">
                  <c:v>Second Class</c:v>
                </c:pt>
                <c:pt idx="2">
                  <c:v>Third Class</c:v>
                </c:pt>
              </c:strCache>
            </c:strRef>
          </c:cat>
          <c:val>
            <c:numRef>
              <c:f>PivotTables!$B$18:$B$21</c:f>
              <c:numCache>
                <c:formatCode>General</c:formatCode>
                <c:ptCount val="3"/>
                <c:pt idx="0">
                  <c:v>80</c:v>
                </c:pt>
                <c:pt idx="1">
                  <c:v>97</c:v>
                </c:pt>
                <c:pt idx="2">
                  <c:v>372</c:v>
                </c:pt>
              </c:numCache>
            </c:numRef>
          </c:val>
          <c:extLst>
            <c:ext xmlns:c16="http://schemas.microsoft.com/office/drawing/2014/chart" uri="{C3380CC4-5D6E-409C-BE32-E72D297353CC}">
              <c16:uniqueId val="{00000000-1507-4FC8-97A8-6F5200732E3C}"/>
            </c:ext>
          </c:extLst>
        </c:ser>
        <c:ser>
          <c:idx val="1"/>
          <c:order val="1"/>
          <c:tx>
            <c:strRef>
              <c:f>PivotTables!$C$16:$C$17</c:f>
              <c:strCache>
                <c:ptCount val="1"/>
                <c:pt idx="0">
                  <c:v>Survived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PivotTables!$A$18:$A$21</c:f>
              <c:strCache>
                <c:ptCount val="3"/>
                <c:pt idx="0">
                  <c:v>First Class</c:v>
                </c:pt>
                <c:pt idx="1">
                  <c:v>Second Class</c:v>
                </c:pt>
                <c:pt idx="2">
                  <c:v>Third Class</c:v>
                </c:pt>
              </c:strCache>
            </c:strRef>
          </c:cat>
          <c:val>
            <c:numRef>
              <c:f>PivotTables!$C$18:$C$21</c:f>
              <c:numCache>
                <c:formatCode>General</c:formatCode>
                <c:ptCount val="3"/>
                <c:pt idx="0">
                  <c:v>136</c:v>
                </c:pt>
                <c:pt idx="1">
                  <c:v>87</c:v>
                </c:pt>
                <c:pt idx="2">
                  <c:v>119</c:v>
                </c:pt>
              </c:numCache>
            </c:numRef>
          </c:val>
          <c:extLst>
            <c:ext xmlns:c16="http://schemas.microsoft.com/office/drawing/2014/chart" uri="{C3380CC4-5D6E-409C-BE32-E72D297353CC}">
              <c16:uniqueId val="{00000001-1507-4FC8-97A8-6F5200732E3C}"/>
            </c:ext>
          </c:extLst>
        </c:ser>
        <c:dLbls>
          <c:dLblPos val="inEnd"/>
          <c:showLegendKey val="0"/>
          <c:showVal val="1"/>
          <c:showCatName val="0"/>
          <c:showSerName val="0"/>
          <c:showPercent val="0"/>
          <c:showBubbleSize val="0"/>
        </c:dLbls>
        <c:gapWidth val="150"/>
        <c:overlap val="100"/>
        <c:axId val="1696519152"/>
        <c:axId val="1600396976"/>
      </c:barChart>
      <c:catAx>
        <c:axId val="169651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96976"/>
        <c:crosses val="autoZero"/>
        <c:auto val="1"/>
        <c:lblAlgn val="ctr"/>
        <c:lblOffset val="100"/>
        <c:noMultiLvlLbl val="0"/>
      </c:catAx>
      <c:valAx>
        <c:axId val="160039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1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a:solidFill>
                  <a:srgbClr val="002060"/>
                </a:solidFill>
                <a:latin typeface="Aptos" panose="020B0004020202020204" pitchFamily="34" charset="0"/>
              </a:rPr>
              <a:t>Survival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dLbl>
          <c:idx val="0"/>
          <c:layout>
            <c:manualLayout>
              <c:x val="0"/>
              <c:y val="-1.07334541058208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PivotTables!$B$24:$B$25</c:f>
              <c:strCache>
                <c:ptCount val="1"/>
                <c:pt idx="0">
                  <c:v>Died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PivotTables!$A$26:$A$30</c:f>
              <c:strCache>
                <c:ptCount val="4"/>
                <c:pt idx="0">
                  <c:v>Adult</c:v>
                </c:pt>
                <c:pt idx="1">
                  <c:v>Child</c:v>
                </c:pt>
                <c:pt idx="2">
                  <c:v>Senior</c:v>
                </c:pt>
                <c:pt idx="3">
                  <c:v>Young Adult</c:v>
                </c:pt>
              </c:strCache>
            </c:strRef>
          </c:cat>
          <c:val>
            <c:numRef>
              <c:f>PivotTables!$B$26:$B$30</c:f>
              <c:numCache>
                <c:formatCode>General</c:formatCode>
                <c:ptCount val="4"/>
                <c:pt idx="0">
                  <c:v>122</c:v>
                </c:pt>
                <c:pt idx="1">
                  <c:v>52</c:v>
                </c:pt>
                <c:pt idx="2">
                  <c:v>19</c:v>
                </c:pt>
                <c:pt idx="3">
                  <c:v>356</c:v>
                </c:pt>
              </c:numCache>
            </c:numRef>
          </c:val>
          <c:extLst>
            <c:ext xmlns:c16="http://schemas.microsoft.com/office/drawing/2014/chart" uri="{C3380CC4-5D6E-409C-BE32-E72D297353CC}">
              <c16:uniqueId val="{00000000-CDE2-418C-B3D5-5A2E74929E51}"/>
            </c:ext>
          </c:extLst>
        </c:ser>
        <c:ser>
          <c:idx val="1"/>
          <c:order val="1"/>
          <c:tx>
            <c:strRef>
              <c:f>PivotTables!$C$24:$C$25</c:f>
              <c:strCache>
                <c:ptCount val="1"/>
                <c:pt idx="0">
                  <c:v>Survived</c:v>
                </c:pt>
              </c:strCache>
            </c:strRef>
          </c:tx>
          <c:spPr>
            <a:solidFill>
              <a:srgbClr val="92D050"/>
            </a:solidFill>
            <a:ln>
              <a:noFill/>
            </a:ln>
            <a:effectLst/>
          </c:spPr>
          <c:invertIfNegative val="0"/>
          <c:dPt>
            <c:idx val="3"/>
            <c:invertIfNegative val="0"/>
            <c:bubble3D val="0"/>
            <c:extLst>
              <c:ext xmlns:c16="http://schemas.microsoft.com/office/drawing/2014/chart" uri="{C3380CC4-5D6E-409C-BE32-E72D297353CC}">
                <c16:uniqueId val="{00000000-427E-4EA2-923F-0C6659D2FF60}"/>
              </c:ext>
            </c:extLst>
          </c:dPt>
          <c:dLbls>
            <c:dLbl>
              <c:idx val="3"/>
              <c:layout>
                <c:manualLayout>
                  <c:x val="0"/>
                  <c:y val="-1.07334541058208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7E-4EA2-923F-0C6659D2FF6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PivotTables!$A$26:$A$30</c:f>
              <c:strCache>
                <c:ptCount val="4"/>
                <c:pt idx="0">
                  <c:v>Adult</c:v>
                </c:pt>
                <c:pt idx="1">
                  <c:v>Child</c:v>
                </c:pt>
                <c:pt idx="2">
                  <c:v>Senior</c:v>
                </c:pt>
                <c:pt idx="3">
                  <c:v>Young Adult</c:v>
                </c:pt>
              </c:strCache>
            </c:strRef>
          </c:cat>
          <c:val>
            <c:numRef>
              <c:f>PivotTables!$C$26:$C$30</c:f>
              <c:numCache>
                <c:formatCode>General</c:formatCode>
                <c:ptCount val="4"/>
                <c:pt idx="0">
                  <c:v>87</c:v>
                </c:pt>
                <c:pt idx="1">
                  <c:v>61</c:v>
                </c:pt>
                <c:pt idx="2">
                  <c:v>7</c:v>
                </c:pt>
                <c:pt idx="3">
                  <c:v>187</c:v>
                </c:pt>
              </c:numCache>
            </c:numRef>
          </c:val>
          <c:extLst>
            <c:ext xmlns:c16="http://schemas.microsoft.com/office/drawing/2014/chart" uri="{C3380CC4-5D6E-409C-BE32-E72D297353CC}">
              <c16:uniqueId val="{00000001-CDE2-418C-B3D5-5A2E74929E51}"/>
            </c:ext>
          </c:extLst>
        </c:ser>
        <c:dLbls>
          <c:dLblPos val="outEnd"/>
          <c:showLegendKey val="0"/>
          <c:showVal val="1"/>
          <c:showCatName val="0"/>
          <c:showSerName val="0"/>
          <c:showPercent val="0"/>
          <c:showBubbleSize val="0"/>
        </c:dLbls>
        <c:gapWidth val="182"/>
        <c:axId val="1777918192"/>
        <c:axId val="1600405616"/>
      </c:barChart>
      <c:catAx>
        <c:axId val="177791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05616"/>
        <c:crosses val="autoZero"/>
        <c:auto val="1"/>
        <c:lblAlgn val="ctr"/>
        <c:lblOffset val="100"/>
        <c:noMultiLvlLbl val="0"/>
      </c:catAx>
      <c:valAx>
        <c:axId val="1600405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1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r>
              <a:rPr lang="en-PH" sz="1400" b="1">
                <a:solidFill>
                  <a:srgbClr val="002060"/>
                </a:solidFill>
                <a:latin typeface="Aptos" panose="020B0004020202020204" pitchFamily="34" charset="0"/>
              </a:rPr>
              <a:t>Survival</a:t>
            </a:r>
            <a:r>
              <a:rPr lang="en-PH" sz="1400" b="1" baseline="0">
                <a:solidFill>
                  <a:srgbClr val="002060"/>
                </a:solidFill>
                <a:latin typeface="Aptos" panose="020B0004020202020204" pitchFamily="34" charset="0"/>
              </a:rPr>
              <a:t> by </a:t>
            </a:r>
            <a:r>
              <a:rPr lang="en-PH" sz="1400" b="1">
                <a:solidFill>
                  <a:srgbClr val="002060"/>
                </a:solidFill>
                <a:latin typeface="Aptos" panose="020B0004020202020204" pitchFamily="34" charset="0"/>
              </a:rPr>
              <a:t>Family</a:t>
            </a:r>
            <a:r>
              <a:rPr lang="en-PH" sz="1400" b="1" baseline="0">
                <a:solidFill>
                  <a:srgbClr val="002060"/>
                </a:solidFill>
                <a:latin typeface="Aptos" panose="020B0004020202020204" pitchFamily="34" charset="0"/>
              </a:rPr>
              <a:t> Group</a:t>
            </a:r>
            <a:endParaRPr lang="en-PH" sz="1400" b="1">
              <a:solidFill>
                <a:srgbClr val="00206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PivotTables!$B$33:$B$34</c:f>
              <c:strCache>
                <c:ptCount val="1"/>
                <c:pt idx="0">
                  <c:v>Died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PivotTables!$A$35:$A$38</c:f>
              <c:strCache>
                <c:ptCount val="3"/>
                <c:pt idx="0">
                  <c:v>Alone</c:v>
                </c:pt>
                <c:pt idx="1">
                  <c:v>Large Family</c:v>
                </c:pt>
                <c:pt idx="2">
                  <c:v>Small Family</c:v>
                </c:pt>
              </c:strCache>
            </c:strRef>
          </c:cat>
          <c:val>
            <c:numRef>
              <c:f>PivotTables!$B$35:$B$38</c:f>
              <c:numCache>
                <c:formatCode>General</c:formatCode>
                <c:ptCount val="3"/>
                <c:pt idx="0">
                  <c:v>374</c:v>
                </c:pt>
                <c:pt idx="1">
                  <c:v>52</c:v>
                </c:pt>
                <c:pt idx="2">
                  <c:v>123</c:v>
                </c:pt>
              </c:numCache>
            </c:numRef>
          </c:val>
          <c:extLst>
            <c:ext xmlns:c16="http://schemas.microsoft.com/office/drawing/2014/chart" uri="{C3380CC4-5D6E-409C-BE32-E72D297353CC}">
              <c16:uniqueId val="{00000000-84AC-4488-8EB9-8B7D7452569A}"/>
            </c:ext>
          </c:extLst>
        </c:ser>
        <c:ser>
          <c:idx val="1"/>
          <c:order val="1"/>
          <c:tx>
            <c:strRef>
              <c:f>PivotTables!$C$33:$C$34</c:f>
              <c:strCache>
                <c:ptCount val="1"/>
                <c:pt idx="0">
                  <c:v>Survived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PivotTables!$A$35:$A$38</c:f>
              <c:strCache>
                <c:ptCount val="3"/>
                <c:pt idx="0">
                  <c:v>Alone</c:v>
                </c:pt>
                <c:pt idx="1">
                  <c:v>Large Family</c:v>
                </c:pt>
                <c:pt idx="2">
                  <c:v>Small Family</c:v>
                </c:pt>
              </c:strCache>
            </c:strRef>
          </c:cat>
          <c:val>
            <c:numRef>
              <c:f>PivotTables!$C$35:$C$38</c:f>
              <c:numCache>
                <c:formatCode>General</c:formatCode>
                <c:ptCount val="3"/>
                <c:pt idx="0">
                  <c:v>163</c:v>
                </c:pt>
                <c:pt idx="1">
                  <c:v>10</c:v>
                </c:pt>
                <c:pt idx="2">
                  <c:v>169</c:v>
                </c:pt>
              </c:numCache>
            </c:numRef>
          </c:val>
          <c:extLst>
            <c:ext xmlns:c16="http://schemas.microsoft.com/office/drawing/2014/chart" uri="{C3380CC4-5D6E-409C-BE32-E72D297353CC}">
              <c16:uniqueId val="{00000001-84AC-4488-8EB9-8B7D7452569A}"/>
            </c:ext>
          </c:extLst>
        </c:ser>
        <c:dLbls>
          <c:dLblPos val="outEnd"/>
          <c:showLegendKey val="0"/>
          <c:showVal val="1"/>
          <c:showCatName val="0"/>
          <c:showSerName val="0"/>
          <c:showPercent val="0"/>
          <c:showBubbleSize val="0"/>
        </c:dLbls>
        <c:gapWidth val="219"/>
        <c:overlap val="-27"/>
        <c:axId val="1777938608"/>
        <c:axId val="1600417616"/>
      </c:barChart>
      <c:catAx>
        <c:axId val="177793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17616"/>
        <c:crosses val="autoZero"/>
        <c:auto val="1"/>
        <c:lblAlgn val="ctr"/>
        <c:lblOffset val="100"/>
        <c:noMultiLvlLbl val="0"/>
      </c:catAx>
      <c:valAx>
        <c:axId val="160041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93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[titanicProject.xlsx]PivotTables!PivotTable20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a:solidFill>
                  <a:srgbClr val="002060"/>
                </a:solidFill>
                <a:latin typeface="Aptos" panose="020B0004020202020204" pitchFamily="34" charset="0"/>
              </a:rPr>
              <a:t>Survival by Fare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PivotTables!$B$41:$B$42</c:f>
              <c:strCache>
                <c:ptCount val="1"/>
                <c:pt idx="0">
                  <c:v>Died</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PivotTables!$A$43:$A$46</c:f>
              <c:strCache>
                <c:ptCount val="3"/>
                <c:pt idx="0">
                  <c:v>High Fare</c:v>
                </c:pt>
                <c:pt idx="1">
                  <c:v>Low Fare</c:v>
                </c:pt>
                <c:pt idx="2">
                  <c:v>Medium Fare</c:v>
                </c:pt>
              </c:strCache>
            </c:strRef>
          </c:cat>
          <c:val>
            <c:numRef>
              <c:f>PivotTables!$B$43:$B$46</c:f>
              <c:numCache>
                <c:formatCode>General</c:formatCode>
                <c:ptCount val="3"/>
                <c:pt idx="0">
                  <c:v>14</c:v>
                </c:pt>
                <c:pt idx="1">
                  <c:v>397</c:v>
                </c:pt>
                <c:pt idx="2">
                  <c:v>138</c:v>
                </c:pt>
              </c:numCache>
            </c:numRef>
          </c:val>
          <c:extLst>
            <c:ext xmlns:c16="http://schemas.microsoft.com/office/drawing/2014/chart" uri="{C3380CC4-5D6E-409C-BE32-E72D297353CC}">
              <c16:uniqueId val="{00000000-1393-4668-AC9D-021121A87176}"/>
            </c:ext>
          </c:extLst>
        </c:ser>
        <c:ser>
          <c:idx val="1"/>
          <c:order val="1"/>
          <c:tx>
            <c:strRef>
              <c:f>PivotTables!$C$41:$C$42</c:f>
              <c:strCache>
                <c:ptCount val="1"/>
                <c:pt idx="0">
                  <c:v>Survived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PivotTables!$A$43:$A$46</c:f>
              <c:strCache>
                <c:ptCount val="3"/>
                <c:pt idx="0">
                  <c:v>High Fare</c:v>
                </c:pt>
                <c:pt idx="1">
                  <c:v>Low Fare</c:v>
                </c:pt>
                <c:pt idx="2">
                  <c:v>Medium Fare</c:v>
                </c:pt>
              </c:strCache>
            </c:strRef>
          </c:cat>
          <c:val>
            <c:numRef>
              <c:f>PivotTables!$C$43:$C$46</c:f>
              <c:numCache>
                <c:formatCode>General</c:formatCode>
                <c:ptCount val="3"/>
                <c:pt idx="0">
                  <c:v>39</c:v>
                </c:pt>
                <c:pt idx="1">
                  <c:v>160</c:v>
                </c:pt>
                <c:pt idx="2">
                  <c:v>143</c:v>
                </c:pt>
              </c:numCache>
            </c:numRef>
          </c:val>
          <c:extLst>
            <c:ext xmlns:c16="http://schemas.microsoft.com/office/drawing/2014/chart" uri="{C3380CC4-5D6E-409C-BE32-E72D297353CC}">
              <c16:uniqueId val="{00000001-1393-4668-AC9D-021121A87176}"/>
            </c:ext>
          </c:extLst>
        </c:ser>
        <c:dLbls>
          <c:dLblPos val="outEnd"/>
          <c:showLegendKey val="0"/>
          <c:showVal val="1"/>
          <c:showCatName val="0"/>
          <c:showSerName val="0"/>
          <c:showPercent val="0"/>
          <c:showBubbleSize val="0"/>
        </c:dLbls>
        <c:gapWidth val="219"/>
        <c:overlap val="-27"/>
        <c:axId val="1696527504"/>
        <c:axId val="1600358096"/>
      </c:barChart>
      <c:catAx>
        <c:axId val="169652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358096"/>
        <c:crosses val="autoZero"/>
        <c:auto val="1"/>
        <c:lblAlgn val="ctr"/>
        <c:lblOffset val="100"/>
        <c:noMultiLvlLbl val="0"/>
      </c:catAx>
      <c:valAx>
        <c:axId val="1600358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52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12</xdr:col>
      <xdr:colOff>1</xdr:colOff>
      <xdr:row>14</xdr:row>
      <xdr:rowOff>182879</xdr:rowOff>
    </xdr:to>
    <xdr:graphicFrame macro="">
      <xdr:nvGraphicFramePr>
        <xdr:cNvPr id="2" name="Chart 1">
          <a:extLst>
            <a:ext uri="{FF2B5EF4-FFF2-40B4-BE49-F238E27FC236}">
              <a16:creationId xmlns:a16="http://schemas.microsoft.com/office/drawing/2014/main" id="{7B71702B-65CB-40D4-3112-4671C4719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xdr:row>
      <xdr:rowOff>10160</xdr:rowOff>
    </xdr:from>
    <xdr:to>
      <xdr:col>19</xdr:col>
      <xdr:colOff>0</xdr:colOff>
      <xdr:row>15</xdr:row>
      <xdr:rowOff>0</xdr:rowOff>
    </xdr:to>
    <xdr:graphicFrame macro="">
      <xdr:nvGraphicFramePr>
        <xdr:cNvPr id="3" name="Chart 2">
          <a:extLst>
            <a:ext uri="{FF2B5EF4-FFF2-40B4-BE49-F238E27FC236}">
              <a16:creationId xmlns:a16="http://schemas.microsoft.com/office/drawing/2014/main" id="{54616772-A09A-918E-B63B-13085C0CD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16</xdr:row>
      <xdr:rowOff>0</xdr:rowOff>
    </xdr:from>
    <xdr:to>
      <xdr:col>12</xdr:col>
      <xdr:colOff>0</xdr:colOff>
      <xdr:row>29</xdr:row>
      <xdr:rowOff>0</xdr:rowOff>
    </xdr:to>
    <xdr:graphicFrame macro="">
      <xdr:nvGraphicFramePr>
        <xdr:cNvPr id="4" name="Chart 3">
          <a:extLst>
            <a:ext uri="{FF2B5EF4-FFF2-40B4-BE49-F238E27FC236}">
              <a16:creationId xmlns:a16="http://schemas.microsoft.com/office/drawing/2014/main" id="{25CA94C0-1744-0704-ECC1-EDD764B81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612097</xdr:colOff>
      <xdr:row>16</xdr:row>
      <xdr:rowOff>0</xdr:rowOff>
    </xdr:from>
    <xdr:to>
      <xdr:col>19</xdr:col>
      <xdr:colOff>0</xdr:colOff>
      <xdr:row>29</xdr:row>
      <xdr:rowOff>0</xdr:rowOff>
    </xdr:to>
    <xdr:graphicFrame macro="">
      <xdr:nvGraphicFramePr>
        <xdr:cNvPr id="5" name="Chart 4">
          <a:extLst>
            <a:ext uri="{FF2B5EF4-FFF2-40B4-BE49-F238E27FC236}">
              <a16:creationId xmlns:a16="http://schemas.microsoft.com/office/drawing/2014/main" id="{D3C26E63-46CE-E912-D828-CCC8F574C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30</xdr:row>
      <xdr:rowOff>0</xdr:rowOff>
    </xdr:from>
    <xdr:to>
      <xdr:col>12</xdr:col>
      <xdr:colOff>0</xdr:colOff>
      <xdr:row>43</xdr:row>
      <xdr:rowOff>0</xdr:rowOff>
    </xdr:to>
    <xdr:graphicFrame macro="">
      <xdr:nvGraphicFramePr>
        <xdr:cNvPr id="6" name="Chart 5">
          <a:extLst>
            <a:ext uri="{FF2B5EF4-FFF2-40B4-BE49-F238E27FC236}">
              <a16:creationId xmlns:a16="http://schemas.microsoft.com/office/drawing/2014/main" id="{B97672A2-7A49-0E1A-2192-6D59CC114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612097</xdr:colOff>
      <xdr:row>30</xdr:row>
      <xdr:rowOff>0</xdr:rowOff>
    </xdr:from>
    <xdr:to>
      <xdr:col>19</xdr:col>
      <xdr:colOff>-1</xdr:colOff>
      <xdr:row>42</xdr:row>
      <xdr:rowOff>179756</xdr:rowOff>
    </xdr:to>
    <xdr:graphicFrame macro="">
      <xdr:nvGraphicFramePr>
        <xdr:cNvPr id="7" name="Chart 6">
          <a:extLst>
            <a:ext uri="{FF2B5EF4-FFF2-40B4-BE49-F238E27FC236}">
              <a16:creationId xmlns:a16="http://schemas.microsoft.com/office/drawing/2014/main" id="{84A3F0CA-5A18-C980-3BEE-13E858210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27</xdr:col>
      <xdr:colOff>612097</xdr:colOff>
      <xdr:row>2</xdr:row>
      <xdr:rowOff>1</xdr:rowOff>
    </xdr:from>
    <xdr:to>
      <xdr:col>31</xdr:col>
      <xdr:colOff>0</xdr:colOff>
      <xdr:row>10</xdr:row>
      <xdr:rowOff>1</xdr:rowOff>
    </xdr:to>
    <mc:AlternateContent xmlns:mc="http://schemas.openxmlformats.org/markup-compatibility/2006" xmlns:a14="http://schemas.microsoft.com/office/drawing/2010/main">
      <mc:Choice Requires="a14">
        <xdr:graphicFrame macro="">
          <xdr:nvGraphicFramePr>
            <xdr:cNvPr id="8" name="Sex">
              <a:extLst>
                <a:ext uri="{FF2B5EF4-FFF2-40B4-BE49-F238E27FC236}">
                  <a16:creationId xmlns:a16="http://schemas.microsoft.com/office/drawing/2014/main" id="{84FA51D7-667C-3FBB-39D1-E2E2B21FA7C8}"/>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9037507" y="374755"/>
              <a:ext cx="1836296" cy="149901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xdr:row>
      <xdr:rowOff>0</xdr:rowOff>
    </xdr:from>
    <xdr:to>
      <xdr:col>23</xdr:col>
      <xdr:colOff>4497</xdr:colOff>
      <xdr:row>10</xdr:row>
      <xdr:rowOff>0</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8094FF1D-58E4-A380-4204-C06D1EE5F0A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140721" y="374754"/>
              <a:ext cx="1840792" cy="149901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xdr:colOff>
      <xdr:row>12</xdr:row>
      <xdr:rowOff>0</xdr:rowOff>
    </xdr:from>
    <xdr:to>
      <xdr:col>29</xdr:col>
      <xdr:colOff>1</xdr:colOff>
      <xdr:row>19</xdr:row>
      <xdr:rowOff>0</xdr:rowOff>
    </xdr:to>
    <mc:AlternateContent xmlns:mc="http://schemas.openxmlformats.org/markup-compatibility/2006" xmlns:a14="http://schemas.microsoft.com/office/drawing/2010/main">
      <mc:Choice Requires="a14">
        <xdr:graphicFrame macro="">
          <xdr:nvGraphicFramePr>
            <xdr:cNvPr id="10" name="Family Group">
              <a:extLst>
                <a:ext uri="{FF2B5EF4-FFF2-40B4-BE49-F238E27FC236}">
                  <a16:creationId xmlns:a16="http://schemas.microsoft.com/office/drawing/2014/main" id="{2A1566D8-2CEF-4EE8-F25D-FE986F5EEB59}"/>
                </a:ext>
              </a:extLst>
            </xdr:cNvPr>
            <xdr:cNvGraphicFramePr/>
          </xdr:nvGraphicFramePr>
          <xdr:xfrm>
            <a:off x="0" y="0"/>
            <a:ext cx="0" cy="0"/>
          </xdr:xfrm>
          <a:graphic>
            <a:graphicData uri="http://schemas.microsoft.com/office/drawing/2010/slicer">
              <sle:slicer xmlns:sle="http://schemas.microsoft.com/office/drawing/2010/slicer" name="Family Group"/>
            </a:graphicData>
          </a:graphic>
        </xdr:graphicFrame>
      </mc:Choice>
      <mc:Fallback xmlns="">
        <xdr:sp macro="" textlink="">
          <xdr:nvSpPr>
            <xdr:cNvPr id="0" name=""/>
            <xdr:cNvSpPr>
              <a:spLocks noTextEdit="1"/>
            </xdr:cNvSpPr>
          </xdr:nvSpPr>
          <xdr:spPr>
            <a:xfrm>
              <a:off x="17813312" y="2248525"/>
              <a:ext cx="1836296" cy="131163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2</xdr:row>
      <xdr:rowOff>1</xdr:rowOff>
    </xdr:from>
    <xdr:to>
      <xdr:col>27</xdr:col>
      <xdr:colOff>0</xdr:colOff>
      <xdr:row>10</xdr:row>
      <xdr:rowOff>1</xdr:rowOff>
    </xdr:to>
    <mc:AlternateContent xmlns:mc="http://schemas.openxmlformats.org/markup-compatibility/2006" xmlns:a14="http://schemas.microsoft.com/office/drawing/2010/main">
      <mc:Choice Requires="a14">
        <xdr:graphicFrame macro="">
          <xdr:nvGraphicFramePr>
            <xdr:cNvPr id="11" name="Fare Category">
              <a:extLst>
                <a:ext uri="{FF2B5EF4-FFF2-40B4-BE49-F238E27FC236}">
                  <a16:creationId xmlns:a16="http://schemas.microsoft.com/office/drawing/2014/main" id="{86AA7960-F1E1-5440-8B17-3B2316613B9B}"/>
                </a:ext>
              </a:extLst>
            </xdr:cNvPr>
            <xdr:cNvGraphicFramePr/>
          </xdr:nvGraphicFramePr>
          <xdr:xfrm>
            <a:off x="0" y="0"/>
            <a:ext cx="0" cy="0"/>
          </xdr:xfrm>
          <a:graphic>
            <a:graphicData uri="http://schemas.microsoft.com/office/drawing/2010/slicer">
              <sle:slicer xmlns:sle="http://schemas.microsoft.com/office/drawing/2010/slicer" name="Fare Category"/>
            </a:graphicData>
          </a:graphic>
        </xdr:graphicFrame>
      </mc:Choice>
      <mc:Fallback xmlns="">
        <xdr:sp macro="" textlink="">
          <xdr:nvSpPr>
            <xdr:cNvPr id="0" name=""/>
            <xdr:cNvSpPr>
              <a:spLocks noTextEdit="1"/>
            </xdr:cNvSpPr>
          </xdr:nvSpPr>
          <xdr:spPr>
            <a:xfrm>
              <a:off x="16589115" y="374755"/>
              <a:ext cx="1836295" cy="149901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12</xdr:row>
      <xdr:rowOff>1</xdr:rowOff>
    </xdr:from>
    <xdr:to>
      <xdr:col>25</xdr:col>
      <xdr:colOff>0</xdr:colOff>
      <xdr:row>19</xdr:row>
      <xdr:rowOff>0</xdr:rowOff>
    </xdr:to>
    <mc:AlternateContent xmlns:mc="http://schemas.openxmlformats.org/markup-compatibility/2006" xmlns:a14="http://schemas.microsoft.com/office/drawing/2010/main">
      <mc:Choice Requires="a14">
        <xdr:graphicFrame macro="">
          <xdr:nvGraphicFramePr>
            <xdr:cNvPr id="12" name="Passenger Class">
              <a:extLst>
                <a:ext uri="{FF2B5EF4-FFF2-40B4-BE49-F238E27FC236}">
                  <a16:creationId xmlns:a16="http://schemas.microsoft.com/office/drawing/2014/main" id="{CAB07555-E0BD-6B8D-D92E-3BF8811B8111}"/>
                </a:ext>
              </a:extLst>
            </xdr:cNvPr>
            <xdr:cNvGraphicFramePr/>
          </xdr:nvGraphicFramePr>
          <xdr:xfrm>
            <a:off x="0" y="0"/>
            <a:ext cx="0" cy="0"/>
          </xdr:xfrm>
          <a:graphic>
            <a:graphicData uri="http://schemas.microsoft.com/office/drawing/2010/slicer">
              <sle:slicer xmlns:sle="http://schemas.microsoft.com/office/drawing/2010/slicer" name="Passenger Class"/>
            </a:graphicData>
          </a:graphic>
        </xdr:graphicFrame>
      </mc:Choice>
      <mc:Fallback xmlns="">
        <xdr:sp macro="" textlink="">
          <xdr:nvSpPr>
            <xdr:cNvPr id="0" name=""/>
            <xdr:cNvSpPr>
              <a:spLocks noTextEdit="1"/>
            </xdr:cNvSpPr>
          </xdr:nvSpPr>
          <xdr:spPr>
            <a:xfrm>
              <a:off x="15364918" y="2248526"/>
              <a:ext cx="1836295" cy="131163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0</xdr:rowOff>
    </xdr:from>
    <xdr:to>
      <xdr:col>7</xdr:col>
      <xdr:colOff>0</xdr:colOff>
      <xdr:row>20</xdr:row>
      <xdr:rowOff>0</xdr:rowOff>
    </xdr:to>
    <xdr:graphicFrame macro="">
      <xdr:nvGraphicFramePr>
        <xdr:cNvPr id="3" name="Chart 2">
          <a:extLst>
            <a:ext uri="{FF2B5EF4-FFF2-40B4-BE49-F238E27FC236}">
              <a16:creationId xmlns:a16="http://schemas.microsoft.com/office/drawing/2014/main" id="{6C61B813-A025-4D9D-819A-09D64E0C2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xdr:row>
      <xdr:rowOff>0</xdr:rowOff>
    </xdr:from>
    <xdr:to>
      <xdr:col>13</xdr:col>
      <xdr:colOff>0</xdr:colOff>
      <xdr:row>20</xdr:row>
      <xdr:rowOff>0</xdr:rowOff>
    </xdr:to>
    <xdr:graphicFrame macro="">
      <xdr:nvGraphicFramePr>
        <xdr:cNvPr id="4" name="Chart 3">
          <a:extLst>
            <a:ext uri="{FF2B5EF4-FFF2-40B4-BE49-F238E27FC236}">
              <a16:creationId xmlns:a16="http://schemas.microsoft.com/office/drawing/2014/main" id="{8B457D0D-2189-47D5-8DFA-D70A353FF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7</xdr:row>
      <xdr:rowOff>0</xdr:rowOff>
    </xdr:from>
    <xdr:to>
      <xdr:col>19</xdr:col>
      <xdr:colOff>0</xdr:colOff>
      <xdr:row>19</xdr:row>
      <xdr:rowOff>182879</xdr:rowOff>
    </xdr:to>
    <xdr:graphicFrame macro="">
      <xdr:nvGraphicFramePr>
        <xdr:cNvPr id="5" name="Chart 4">
          <a:extLst>
            <a:ext uri="{FF2B5EF4-FFF2-40B4-BE49-F238E27FC236}">
              <a16:creationId xmlns:a16="http://schemas.microsoft.com/office/drawing/2014/main" id="{79599D12-E5F6-46A7-9F1E-CC8E1E582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1</xdr:rowOff>
    </xdr:from>
    <xdr:to>
      <xdr:col>7</xdr:col>
      <xdr:colOff>0</xdr:colOff>
      <xdr:row>34</xdr:row>
      <xdr:rowOff>1</xdr:rowOff>
    </xdr:to>
    <xdr:graphicFrame macro="">
      <xdr:nvGraphicFramePr>
        <xdr:cNvPr id="6" name="Chart 5">
          <a:extLst>
            <a:ext uri="{FF2B5EF4-FFF2-40B4-BE49-F238E27FC236}">
              <a16:creationId xmlns:a16="http://schemas.microsoft.com/office/drawing/2014/main" id="{9B6870CA-B09B-4A6F-9D73-80E736CFC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21</xdr:row>
      <xdr:rowOff>0</xdr:rowOff>
    </xdr:from>
    <xdr:to>
      <xdr:col>13</xdr:col>
      <xdr:colOff>0</xdr:colOff>
      <xdr:row>34</xdr:row>
      <xdr:rowOff>0</xdr:rowOff>
    </xdr:to>
    <xdr:graphicFrame macro="">
      <xdr:nvGraphicFramePr>
        <xdr:cNvPr id="7" name="Chart 6">
          <a:extLst>
            <a:ext uri="{FF2B5EF4-FFF2-40B4-BE49-F238E27FC236}">
              <a16:creationId xmlns:a16="http://schemas.microsoft.com/office/drawing/2014/main" id="{CE741604-793F-4678-A5E9-6B65BF3D0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xdr:colOff>
      <xdr:row>21</xdr:row>
      <xdr:rowOff>1</xdr:rowOff>
    </xdr:from>
    <xdr:to>
      <xdr:col>19</xdr:col>
      <xdr:colOff>1</xdr:colOff>
      <xdr:row>34</xdr:row>
      <xdr:rowOff>1</xdr:rowOff>
    </xdr:to>
    <xdr:graphicFrame macro="">
      <xdr:nvGraphicFramePr>
        <xdr:cNvPr id="8" name="Chart 7">
          <a:extLst>
            <a:ext uri="{FF2B5EF4-FFF2-40B4-BE49-F238E27FC236}">
              <a16:creationId xmlns:a16="http://schemas.microsoft.com/office/drawing/2014/main" id="{75A437FE-58CA-47F1-A585-1D6049FC7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35</xdr:row>
      <xdr:rowOff>0</xdr:rowOff>
    </xdr:from>
    <xdr:to>
      <xdr:col>12</xdr:col>
      <xdr:colOff>2625</xdr:colOff>
      <xdr:row>41</xdr:row>
      <xdr:rowOff>1436</xdr:rowOff>
    </xdr:to>
    <mc:AlternateContent xmlns:mc="http://schemas.openxmlformats.org/markup-compatibility/2006" xmlns:a14="http://schemas.microsoft.com/office/drawing/2010/main">
      <mc:Choice Requires="a14">
        <xdr:graphicFrame macro="">
          <xdr:nvGraphicFramePr>
            <xdr:cNvPr id="9" name="Age Group 1">
              <a:extLst>
                <a:ext uri="{FF2B5EF4-FFF2-40B4-BE49-F238E27FC236}">
                  <a16:creationId xmlns:a16="http://schemas.microsoft.com/office/drawing/2014/main" id="{57441F15-99A8-4F4C-96A5-811503E2A6DF}"/>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4347882" y="6305176"/>
              <a:ext cx="2452978" cy="107720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604344</xdr:colOff>
      <xdr:row>35</xdr:row>
      <xdr:rowOff>553</xdr:rowOff>
    </xdr:from>
    <xdr:to>
      <xdr:col>19</xdr:col>
      <xdr:colOff>2627</xdr:colOff>
      <xdr:row>41</xdr:row>
      <xdr:rowOff>2</xdr:rowOff>
    </xdr:to>
    <mc:AlternateContent xmlns:mc="http://schemas.openxmlformats.org/markup-compatibility/2006" xmlns:a14="http://schemas.microsoft.com/office/drawing/2010/main">
      <mc:Choice Requires="a14">
        <xdr:graphicFrame macro="">
          <xdr:nvGraphicFramePr>
            <xdr:cNvPr id="10" name="Fare Category 1">
              <a:extLst>
                <a:ext uri="{FF2B5EF4-FFF2-40B4-BE49-F238E27FC236}">
                  <a16:creationId xmlns:a16="http://schemas.microsoft.com/office/drawing/2014/main" id="{A39A44A1-1833-47B1-B3D5-4504D7A29EE5}"/>
                </a:ext>
              </a:extLst>
            </xdr:cNvPr>
            <xdr:cNvGraphicFramePr/>
          </xdr:nvGraphicFramePr>
          <xdr:xfrm>
            <a:off x="0" y="0"/>
            <a:ext cx="0" cy="0"/>
          </xdr:xfrm>
          <a:graphic>
            <a:graphicData uri="http://schemas.microsoft.com/office/drawing/2010/slicer">
              <sle:slicer xmlns:sle="http://schemas.microsoft.com/office/drawing/2010/slicer" name="Fare Category 1"/>
            </a:graphicData>
          </a:graphic>
        </xdr:graphicFrame>
      </mc:Choice>
      <mc:Fallback xmlns="">
        <xdr:sp macro="" textlink="">
          <xdr:nvSpPr>
            <xdr:cNvPr id="0" name=""/>
            <xdr:cNvSpPr>
              <a:spLocks noTextEdit="1"/>
            </xdr:cNvSpPr>
          </xdr:nvSpPr>
          <xdr:spPr>
            <a:xfrm>
              <a:off x="9240344" y="6305729"/>
              <a:ext cx="1848636" cy="107521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35</xdr:row>
      <xdr:rowOff>0</xdr:rowOff>
    </xdr:from>
    <xdr:to>
      <xdr:col>4</xdr:col>
      <xdr:colOff>4143</xdr:colOff>
      <xdr:row>41</xdr:row>
      <xdr:rowOff>1436</xdr:rowOff>
    </xdr:to>
    <mc:AlternateContent xmlns:mc="http://schemas.openxmlformats.org/markup-compatibility/2006" xmlns:a14="http://schemas.microsoft.com/office/drawing/2010/main">
      <mc:Choice Requires="a14">
        <xdr:graphicFrame macro="">
          <xdr:nvGraphicFramePr>
            <xdr:cNvPr id="11" name="Sex 1">
              <a:extLst>
                <a:ext uri="{FF2B5EF4-FFF2-40B4-BE49-F238E27FC236}">
                  <a16:creationId xmlns:a16="http://schemas.microsoft.com/office/drawing/2014/main" id="{2A67D3A0-477D-42BC-86D5-456690A4F144}"/>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59765" y="6305176"/>
              <a:ext cx="1841907" cy="107720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35</xdr:row>
      <xdr:rowOff>0</xdr:rowOff>
    </xdr:from>
    <xdr:to>
      <xdr:col>8</xdr:col>
      <xdr:colOff>0</xdr:colOff>
      <xdr:row>41</xdr:row>
      <xdr:rowOff>1436</xdr:rowOff>
    </xdr:to>
    <mc:AlternateContent xmlns:mc="http://schemas.openxmlformats.org/markup-compatibility/2006" xmlns:a14="http://schemas.microsoft.com/office/drawing/2010/main">
      <mc:Choice Requires="a14">
        <xdr:graphicFrame macro="">
          <xdr:nvGraphicFramePr>
            <xdr:cNvPr id="12" name="Passenger Class 1">
              <a:extLst>
                <a:ext uri="{FF2B5EF4-FFF2-40B4-BE49-F238E27FC236}">
                  <a16:creationId xmlns:a16="http://schemas.microsoft.com/office/drawing/2014/main" id="{E12275A7-255F-41DA-AD3C-DC827C1E2891}"/>
                </a:ext>
              </a:extLst>
            </xdr:cNvPr>
            <xdr:cNvGraphicFramePr/>
          </xdr:nvGraphicFramePr>
          <xdr:xfrm>
            <a:off x="0" y="0"/>
            <a:ext cx="0" cy="0"/>
          </xdr:xfrm>
          <a:graphic>
            <a:graphicData uri="http://schemas.microsoft.com/office/drawing/2010/slicer">
              <sle:slicer xmlns:sle="http://schemas.microsoft.com/office/drawing/2010/slicer" name="Passenger Class 1"/>
            </a:graphicData>
          </a:graphic>
        </xdr:graphicFrame>
      </mc:Choice>
      <mc:Fallback xmlns="">
        <xdr:sp macro="" textlink="">
          <xdr:nvSpPr>
            <xdr:cNvPr id="0" name=""/>
            <xdr:cNvSpPr>
              <a:spLocks noTextEdit="1"/>
            </xdr:cNvSpPr>
          </xdr:nvSpPr>
          <xdr:spPr>
            <a:xfrm>
              <a:off x="1897529" y="6305176"/>
              <a:ext cx="2450353" cy="107720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35</xdr:row>
      <xdr:rowOff>0</xdr:rowOff>
    </xdr:from>
    <xdr:to>
      <xdr:col>16</xdr:col>
      <xdr:colOff>1094</xdr:colOff>
      <xdr:row>41</xdr:row>
      <xdr:rowOff>1436</xdr:rowOff>
    </xdr:to>
    <mc:AlternateContent xmlns:mc="http://schemas.openxmlformats.org/markup-compatibility/2006" xmlns:a14="http://schemas.microsoft.com/office/drawing/2010/main">
      <mc:Choice Requires="a14">
        <xdr:graphicFrame macro="">
          <xdr:nvGraphicFramePr>
            <xdr:cNvPr id="13" name="Family Group 1">
              <a:extLst>
                <a:ext uri="{FF2B5EF4-FFF2-40B4-BE49-F238E27FC236}">
                  <a16:creationId xmlns:a16="http://schemas.microsoft.com/office/drawing/2014/main" id="{476662FB-6CC1-4028-9D74-0BF724FA3A94}"/>
                </a:ext>
              </a:extLst>
            </xdr:cNvPr>
            <xdr:cNvGraphicFramePr/>
          </xdr:nvGraphicFramePr>
          <xdr:xfrm>
            <a:off x="0" y="0"/>
            <a:ext cx="0" cy="0"/>
          </xdr:xfrm>
          <a:graphic>
            <a:graphicData uri="http://schemas.microsoft.com/office/drawing/2010/slicer">
              <sle:slicer xmlns:sle="http://schemas.microsoft.com/office/drawing/2010/slicer" name="Family Group 1"/>
            </a:graphicData>
          </a:graphic>
        </xdr:graphicFrame>
      </mc:Choice>
      <mc:Fallback xmlns="">
        <xdr:sp macro="" textlink="">
          <xdr:nvSpPr>
            <xdr:cNvPr id="0" name=""/>
            <xdr:cNvSpPr>
              <a:spLocks noTextEdit="1"/>
            </xdr:cNvSpPr>
          </xdr:nvSpPr>
          <xdr:spPr>
            <a:xfrm>
              <a:off x="6798235" y="6305176"/>
              <a:ext cx="2451447" cy="107720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2.587834606478" createdVersion="8" refreshedVersion="8" minRefreshableVersion="3" recordCount="891" xr:uid="{10963BF9-0B07-40A7-8175-CBF2F7F709EA}">
  <cacheSource type="worksheet">
    <worksheetSource name="Table3"/>
  </cacheSource>
  <cacheFields count="17">
    <cacheField name="PassengerId" numFmtId="1">
      <sharedItems containsSemiMixedTypes="0" containsString="0" containsNumber="1" containsInteger="1" minValue="1" maxValue="891"/>
    </cacheField>
    <cacheField name="Survived" numFmtId="1">
      <sharedItems containsSemiMixedTypes="0" containsString="0" containsNumber="1" containsInteger="1" minValue="0" maxValue="1"/>
    </cacheField>
    <cacheField name="Pclass" numFmtId="1">
      <sharedItems containsSemiMixedTypes="0" containsString="0" containsNumber="1" containsInteger="1" minValue="1" maxValue="3"/>
    </cacheField>
    <cacheField name="Name" numFmtId="0">
      <sharedItems/>
    </cacheField>
    <cacheField name="Sex" numFmtId="0">
      <sharedItems count="2">
        <s v="male"/>
        <s v="female"/>
      </sharedItems>
    </cacheField>
    <cacheField name="Age" numFmtId="165">
      <sharedItems containsSemiMixedTypes="0" containsString="0" containsNumber="1" minValue="0.42" maxValue="80"/>
    </cacheField>
    <cacheField name="SibSp" numFmtId="1">
      <sharedItems containsSemiMixedTypes="0" containsString="0" containsNumber="1" containsInteger="1" minValue="0" maxValue="8"/>
    </cacheField>
    <cacheField name="Parch" numFmtId="1">
      <sharedItems containsSemiMixedTypes="0" containsString="0" containsNumber="1" containsInteger="1" minValue="0" maxValue="6"/>
    </cacheField>
    <cacheField name="Ticket" numFmtId="0">
      <sharedItems/>
    </cacheField>
    <cacheField name="Fare" numFmtId="164">
      <sharedItems containsSemiMixedTypes="0" containsString="0" containsNumber="1" minValue="0" maxValue="512.32920000000001"/>
    </cacheField>
    <cacheField name="Survival Status" numFmtId="0">
      <sharedItems count="2">
        <s v="Died"/>
        <s v="Survived"/>
      </sharedItems>
    </cacheField>
    <cacheField name="Age Group" numFmtId="0">
      <sharedItems count="4">
        <s v="Young Adult"/>
        <s v="Adult"/>
        <s v="Child"/>
        <s v="Senior"/>
      </sharedItems>
    </cacheField>
    <cacheField name="Family Size" numFmtId="1">
      <sharedItems containsSemiMixedTypes="0" containsString="0" containsNumber="1" containsInteger="1" minValue="1" maxValue="11"/>
    </cacheField>
    <cacheField name="Family Group" numFmtId="0">
      <sharedItems count="3">
        <s v="Small Family"/>
        <s v="Alone"/>
        <s v="Large Family"/>
      </sharedItems>
    </cacheField>
    <cacheField name="Fare Category" numFmtId="0">
      <sharedItems count="3">
        <s v="Low Fare"/>
        <s v="Medium Fare"/>
        <s v="High Fare"/>
      </sharedItems>
    </cacheField>
    <cacheField name="Passenger Class" numFmtId="0">
      <sharedItems count="3">
        <s v="Third Class"/>
        <s v="First Class"/>
        <s v="Second Class"/>
      </sharedItems>
    </cacheField>
    <cacheField name="Gender Code" numFmtId="0">
      <sharedItems containsSemiMixedTypes="0" containsString="0" containsNumber="1" containsInteger="1" minValue="1" maxValue="2"/>
    </cacheField>
  </cacheFields>
  <extLst>
    <ext xmlns:x14="http://schemas.microsoft.com/office/spreadsheetml/2009/9/main" uri="{725AE2AE-9491-48be-B2B4-4EB974FC3084}">
      <x14:pivotCacheDefinition pivotCacheId="8141776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n v="0"/>
    <n v="3"/>
    <s v="Braund, Mr. Owen Harris"/>
    <x v="0"/>
    <n v="22"/>
    <n v="1"/>
    <n v="0"/>
    <s v="A/5 21171"/>
    <n v="7.25"/>
    <x v="0"/>
    <x v="0"/>
    <n v="2"/>
    <x v="0"/>
    <x v="0"/>
    <x v="0"/>
    <n v="1"/>
  </r>
  <r>
    <n v="2"/>
    <n v="1"/>
    <n v="1"/>
    <s v="Cumings, Mrs. John Bradley (Florence Briggs Thayer)"/>
    <x v="1"/>
    <n v="38"/>
    <n v="1"/>
    <n v="0"/>
    <s v="PC 17599"/>
    <n v="71.283299999999997"/>
    <x v="1"/>
    <x v="1"/>
    <n v="2"/>
    <x v="0"/>
    <x v="1"/>
    <x v="1"/>
    <n v="2"/>
  </r>
  <r>
    <n v="3"/>
    <n v="1"/>
    <n v="3"/>
    <s v="Heikkinen, Miss. Laina"/>
    <x v="1"/>
    <n v="26"/>
    <n v="0"/>
    <n v="0"/>
    <s v="STON/O2. 3101282"/>
    <n v="7.9249999999999998"/>
    <x v="1"/>
    <x v="0"/>
    <n v="1"/>
    <x v="1"/>
    <x v="0"/>
    <x v="0"/>
    <n v="2"/>
  </r>
  <r>
    <n v="4"/>
    <n v="1"/>
    <n v="1"/>
    <s v="Futrelle, Mrs. Jacques Heath (Lily May Peel)"/>
    <x v="1"/>
    <n v="35"/>
    <n v="1"/>
    <n v="0"/>
    <s v="113803"/>
    <n v="53.1"/>
    <x v="1"/>
    <x v="1"/>
    <n v="2"/>
    <x v="0"/>
    <x v="1"/>
    <x v="1"/>
    <n v="2"/>
  </r>
  <r>
    <n v="5"/>
    <n v="0"/>
    <n v="3"/>
    <s v="Allen, Mr. William Henry"/>
    <x v="0"/>
    <n v="35"/>
    <n v="0"/>
    <n v="0"/>
    <s v="373450"/>
    <n v="8.0500000000000007"/>
    <x v="0"/>
    <x v="1"/>
    <n v="1"/>
    <x v="1"/>
    <x v="0"/>
    <x v="0"/>
    <n v="1"/>
  </r>
  <r>
    <n v="6"/>
    <n v="0"/>
    <n v="3"/>
    <s v="Moran, Mr. James"/>
    <x v="0"/>
    <n v="26"/>
    <n v="0"/>
    <n v="0"/>
    <s v="330877"/>
    <n v="8.4582999999999995"/>
    <x v="0"/>
    <x v="0"/>
    <n v="1"/>
    <x v="1"/>
    <x v="0"/>
    <x v="0"/>
    <n v="1"/>
  </r>
  <r>
    <n v="7"/>
    <n v="0"/>
    <n v="1"/>
    <s v="McCarthy, Mr. Timothy J"/>
    <x v="0"/>
    <n v="54"/>
    <n v="0"/>
    <n v="0"/>
    <s v="17463"/>
    <n v="51.862499999999997"/>
    <x v="0"/>
    <x v="1"/>
    <n v="1"/>
    <x v="1"/>
    <x v="1"/>
    <x v="1"/>
    <n v="1"/>
  </r>
  <r>
    <n v="8"/>
    <n v="0"/>
    <n v="3"/>
    <s v="Palsson, Master. Gosta Leonard"/>
    <x v="0"/>
    <n v="2"/>
    <n v="3"/>
    <n v="1"/>
    <s v="349909"/>
    <n v="21.074999999999999"/>
    <x v="0"/>
    <x v="2"/>
    <n v="5"/>
    <x v="2"/>
    <x v="0"/>
    <x v="0"/>
    <n v="1"/>
  </r>
  <r>
    <n v="9"/>
    <n v="1"/>
    <n v="3"/>
    <s v="Johnson, Mrs. Oscar W (Elisabeth Vilhelmina Berg)"/>
    <x v="1"/>
    <n v="27"/>
    <n v="0"/>
    <n v="2"/>
    <s v="347742"/>
    <n v="11.1333"/>
    <x v="1"/>
    <x v="0"/>
    <n v="3"/>
    <x v="0"/>
    <x v="0"/>
    <x v="0"/>
    <n v="2"/>
  </r>
  <r>
    <n v="10"/>
    <n v="1"/>
    <n v="2"/>
    <s v="Nasser, Mrs. Nicholas (Adele Achem)"/>
    <x v="1"/>
    <n v="14"/>
    <n v="1"/>
    <n v="0"/>
    <s v="237736"/>
    <n v="30.070799999999998"/>
    <x v="1"/>
    <x v="2"/>
    <n v="2"/>
    <x v="0"/>
    <x v="1"/>
    <x v="2"/>
    <n v="2"/>
  </r>
  <r>
    <n v="11"/>
    <n v="1"/>
    <n v="3"/>
    <s v="Sandstrom, Miss. Marguerite Rut"/>
    <x v="1"/>
    <n v="4"/>
    <n v="1"/>
    <n v="1"/>
    <s v="PP 9549"/>
    <n v="16.7"/>
    <x v="1"/>
    <x v="2"/>
    <n v="3"/>
    <x v="0"/>
    <x v="0"/>
    <x v="0"/>
    <n v="2"/>
  </r>
  <r>
    <n v="12"/>
    <n v="1"/>
    <n v="1"/>
    <s v="Bonnell, Miss. Elizabeth"/>
    <x v="1"/>
    <n v="58"/>
    <n v="0"/>
    <n v="0"/>
    <s v="113783"/>
    <n v="26.55"/>
    <x v="1"/>
    <x v="1"/>
    <n v="1"/>
    <x v="1"/>
    <x v="1"/>
    <x v="1"/>
    <n v="2"/>
  </r>
  <r>
    <n v="13"/>
    <n v="0"/>
    <n v="3"/>
    <s v="Saundercock, Mr. William Henry"/>
    <x v="0"/>
    <n v="20"/>
    <n v="0"/>
    <n v="0"/>
    <s v="A/5. 2151"/>
    <n v="8.0500000000000007"/>
    <x v="0"/>
    <x v="0"/>
    <n v="1"/>
    <x v="1"/>
    <x v="0"/>
    <x v="0"/>
    <n v="1"/>
  </r>
  <r>
    <n v="14"/>
    <n v="0"/>
    <n v="3"/>
    <s v="Andersson, Mr. Anders Johan"/>
    <x v="0"/>
    <n v="39"/>
    <n v="1"/>
    <n v="5"/>
    <s v="347082"/>
    <n v="31.274999999999999"/>
    <x v="0"/>
    <x v="1"/>
    <n v="7"/>
    <x v="2"/>
    <x v="1"/>
    <x v="0"/>
    <n v="1"/>
  </r>
  <r>
    <n v="15"/>
    <n v="0"/>
    <n v="3"/>
    <s v="Vestrom, Miss. Hulda Amanda Adolfina"/>
    <x v="1"/>
    <n v="14"/>
    <n v="0"/>
    <n v="0"/>
    <s v="350406"/>
    <n v="7.8541999999999996"/>
    <x v="0"/>
    <x v="2"/>
    <n v="1"/>
    <x v="1"/>
    <x v="0"/>
    <x v="0"/>
    <n v="2"/>
  </r>
  <r>
    <n v="16"/>
    <n v="1"/>
    <n v="2"/>
    <s v="Hewlett, Mrs. (Mary D Kingcome) "/>
    <x v="1"/>
    <n v="55"/>
    <n v="0"/>
    <n v="0"/>
    <s v="248706"/>
    <n v="16"/>
    <x v="1"/>
    <x v="1"/>
    <n v="1"/>
    <x v="1"/>
    <x v="0"/>
    <x v="2"/>
    <n v="2"/>
  </r>
  <r>
    <n v="17"/>
    <n v="0"/>
    <n v="3"/>
    <s v="Rice, Master. Eugene"/>
    <x v="0"/>
    <n v="2"/>
    <n v="4"/>
    <n v="1"/>
    <s v="382652"/>
    <n v="29.125"/>
    <x v="0"/>
    <x v="2"/>
    <n v="6"/>
    <x v="2"/>
    <x v="1"/>
    <x v="0"/>
    <n v="1"/>
  </r>
  <r>
    <n v="18"/>
    <n v="1"/>
    <n v="2"/>
    <s v="Williams, Mr. Charles Eugene"/>
    <x v="0"/>
    <n v="26"/>
    <n v="0"/>
    <n v="0"/>
    <s v="244373"/>
    <n v="13"/>
    <x v="1"/>
    <x v="0"/>
    <n v="1"/>
    <x v="1"/>
    <x v="0"/>
    <x v="2"/>
    <n v="1"/>
  </r>
  <r>
    <n v="19"/>
    <n v="0"/>
    <n v="3"/>
    <s v="Vander Planke, Mrs. Julius (Emelia Maria Vandemoortele)"/>
    <x v="1"/>
    <n v="31"/>
    <n v="1"/>
    <n v="0"/>
    <s v="345763"/>
    <n v="18"/>
    <x v="0"/>
    <x v="0"/>
    <n v="2"/>
    <x v="0"/>
    <x v="0"/>
    <x v="0"/>
    <n v="2"/>
  </r>
  <r>
    <n v="20"/>
    <n v="1"/>
    <n v="3"/>
    <s v="Masselmani, Mrs. Fatima"/>
    <x v="1"/>
    <n v="26"/>
    <n v="0"/>
    <n v="0"/>
    <s v="2649"/>
    <n v="7.2249999999999996"/>
    <x v="1"/>
    <x v="0"/>
    <n v="1"/>
    <x v="1"/>
    <x v="0"/>
    <x v="0"/>
    <n v="2"/>
  </r>
  <r>
    <n v="21"/>
    <n v="0"/>
    <n v="2"/>
    <s v="Fynney, Mr. Joseph J"/>
    <x v="0"/>
    <n v="35"/>
    <n v="0"/>
    <n v="0"/>
    <s v="239865"/>
    <n v="26"/>
    <x v="0"/>
    <x v="1"/>
    <n v="1"/>
    <x v="1"/>
    <x v="1"/>
    <x v="2"/>
    <n v="1"/>
  </r>
  <r>
    <n v="22"/>
    <n v="1"/>
    <n v="2"/>
    <s v="Beesley, Mr. Lawrence"/>
    <x v="0"/>
    <n v="34"/>
    <n v="0"/>
    <n v="0"/>
    <s v="248698"/>
    <n v="13"/>
    <x v="1"/>
    <x v="0"/>
    <n v="1"/>
    <x v="1"/>
    <x v="0"/>
    <x v="2"/>
    <n v="1"/>
  </r>
  <r>
    <n v="23"/>
    <n v="1"/>
    <n v="3"/>
    <s v="McGowan, Miss. Anna &quot;Annie&quot;"/>
    <x v="1"/>
    <n v="15"/>
    <n v="0"/>
    <n v="0"/>
    <s v="330923"/>
    <n v="8.0291999999999994"/>
    <x v="1"/>
    <x v="2"/>
    <n v="1"/>
    <x v="1"/>
    <x v="0"/>
    <x v="0"/>
    <n v="2"/>
  </r>
  <r>
    <n v="24"/>
    <n v="1"/>
    <n v="1"/>
    <s v="Sloper, Mr. William Thompson"/>
    <x v="0"/>
    <n v="28"/>
    <n v="0"/>
    <n v="0"/>
    <s v="113788"/>
    <n v="35.5"/>
    <x v="1"/>
    <x v="0"/>
    <n v="1"/>
    <x v="1"/>
    <x v="1"/>
    <x v="1"/>
    <n v="1"/>
  </r>
  <r>
    <n v="25"/>
    <n v="0"/>
    <n v="3"/>
    <s v="Palsson, Miss. Torborg Danira"/>
    <x v="1"/>
    <n v="8"/>
    <n v="3"/>
    <n v="1"/>
    <s v="349909"/>
    <n v="21.074999999999999"/>
    <x v="0"/>
    <x v="2"/>
    <n v="5"/>
    <x v="2"/>
    <x v="0"/>
    <x v="0"/>
    <n v="2"/>
  </r>
  <r>
    <n v="26"/>
    <n v="1"/>
    <n v="3"/>
    <s v="Asplund, Mrs. Carl Oscar (Selma Augusta Emilia Johansson)"/>
    <x v="1"/>
    <n v="38"/>
    <n v="1"/>
    <n v="5"/>
    <s v="347077"/>
    <n v="31.387499999999999"/>
    <x v="1"/>
    <x v="1"/>
    <n v="7"/>
    <x v="2"/>
    <x v="1"/>
    <x v="0"/>
    <n v="2"/>
  </r>
  <r>
    <n v="27"/>
    <n v="0"/>
    <n v="3"/>
    <s v="Emir, Mr. Farred Chehab"/>
    <x v="0"/>
    <n v="26"/>
    <n v="0"/>
    <n v="0"/>
    <s v="2631"/>
    <n v="7.2249999999999996"/>
    <x v="0"/>
    <x v="0"/>
    <n v="1"/>
    <x v="1"/>
    <x v="0"/>
    <x v="0"/>
    <n v="1"/>
  </r>
  <r>
    <n v="28"/>
    <n v="0"/>
    <n v="1"/>
    <s v="Fortune, Mr. Charles Alexander"/>
    <x v="0"/>
    <n v="19"/>
    <n v="3"/>
    <n v="2"/>
    <s v="19950"/>
    <n v="263"/>
    <x v="0"/>
    <x v="0"/>
    <n v="6"/>
    <x v="2"/>
    <x v="2"/>
    <x v="1"/>
    <n v="1"/>
  </r>
  <r>
    <n v="29"/>
    <n v="1"/>
    <n v="3"/>
    <s v="O'Dwyer, Miss. Ellen &quot;Nellie&quot;"/>
    <x v="1"/>
    <n v="26"/>
    <n v="0"/>
    <n v="0"/>
    <s v="330959"/>
    <n v="7.8792"/>
    <x v="1"/>
    <x v="0"/>
    <n v="1"/>
    <x v="1"/>
    <x v="0"/>
    <x v="0"/>
    <n v="2"/>
  </r>
  <r>
    <n v="30"/>
    <n v="0"/>
    <n v="3"/>
    <s v="Todoroff, Mr. Lalio"/>
    <x v="0"/>
    <n v="26"/>
    <n v="0"/>
    <n v="0"/>
    <s v="349216"/>
    <n v="7.8958000000000004"/>
    <x v="0"/>
    <x v="0"/>
    <n v="1"/>
    <x v="1"/>
    <x v="0"/>
    <x v="0"/>
    <n v="1"/>
  </r>
  <r>
    <n v="31"/>
    <n v="0"/>
    <n v="1"/>
    <s v="Uruchurtu, Don. Manuel E"/>
    <x v="0"/>
    <n v="40"/>
    <n v="0"/>
    <n v="0"/>
    <s v="PC 17601"/>
    <n v="27.720800000000001"/>
    <x v="0"/>
    <x v="1"/>
    <n v="1"/>
    <x v="1"/>
    <x v="1"/>
    <x v="1"/>
    <n v="1"/>
  </r>
  <r>
    <n v="32"/>
    <n v="1"/>
    <n v="1"/>
    <s v="Spencer, Mrs. William Augustus (Marie Eugenie)"/>
    <x v="1"/>
    <n v="26"/>
    <n v="1"/>
    <n v="0"/>
    <s v="PC 17569"/>
    <n v="146.52080000000001"/>
    <x v="1"/>
    <x v="0"/>
    <n v="2"/>
    <x v="0"/>
    <x v="2"/>
    <x v="1"/>
    <n v="2"/>
  </r>
  <r>
    <n v="33"/>
    <n v="1"/>
    <n v="3"/>
    <s v="Glynn, Miss. Mary Agatha"/>
    <x v="1"/>
    <n v="26"/>
    <n v="0"/>
    <n v="0"/>
    <s v="335677"/>
    <n v="7.75"/>
    <x v="1"/>
    <x v="0"/>
    <n v="1"/>
    <x v="1"/>
    <x v="0"/>
    <x v="0"/>
    <n v="2"/>
  </r>
  <r>
    <n v="34"/>
    <n v="0"/>
    <n v="2"/>
    <s v="Wheadon, Mr. Edward H"/>
    <x v="0"/>
    <n v="66"/>
    <n v="0"/>
    <n v="0"/>
    <s v="C.A. 24579"/>
    <n v="10.5"/>
    <x v="0"/>
    <x v="3"/>
    <n v="1"/>
    <x v="1"/>
    <x v="0"/>
    <x v="2"/>
    <n v="1"/>
  </r>
  <r>
    <n v="35"/>
    <n v="0"/>
    <n v="1"/>
    <s v="Meyer, Mr. Edgar Joseph"/>
    <x v="0"/>
    <n v="28"/>
    <n v="1"/>
    <n v="0"/>
    <s v="PC 17604"/>
    <n v="82.1708"/>
    <x v="0"/>
    <x v="0"/>
    <n v="2"/>
    <x v="0"/>
    <x v="1"/>
    <x v="1"/>
    <n v="1"/>
  </r>
  <r>
    <n v="36"/>
    <n v="0"/>
    <n v="1"/>
    <s v="Holverson, Mr. Alexander Oskar"/>
    <x v="0"/>
    <n v="42"/>
    <n v="1"/>
    <n v="0"/>
    <s v="113789"/>
    <n v="52"/>
    <x v="0"/>
    <x v="1"/>
    <n v="2"/>
    <x v="0"/>
    <x v="1"/>
    <x v="1"/>
    <n v="1"/>
  </r>
  <r>
    <n v="37"/>
    <n v="1"/>
    <n v="3"/>
    <s v="Mamee, Mr. Hanna"/>
    <x v="0"/>
    <n v="26"/>
    <n v="0"/>
    <n v="0"/>
    <s v="2677"/>
    <n v="7.2291999999999996"/>
    <x v="1"/>
    <x v="0"/>
    <n v="1"/>
    <x v="1"/>
    <x v="0"/>
    <x v="0"/>
    <n v="1"/>
  </r>
  <r>
    <n v="38"/>
    <n v="0"/>
    <n v="3"/>
    <s v="Cann, Mr. Ernest Charles"/>
    <x v="0"/>
    <n v="21"/>
    <n v="0"/>
    <n v="0"/>
    <s v="A./5. 2152"/>
    <n v="8.0500000000000007"/>
    <x v="0"/>
    <x v="0"/>
    <n v="1"/>
    <x v="1"/>
    <x v="0"/>
    <x v="0"/>
    <n v="1"/>
  </r>
  <r>
    <n v="39"/>
    <n v="0"/>
    <n v="3"/>
    <s v="Vander Planke, Miss. Augusta Maria"/>
    <x v="1"/>
    <n v="18"/>
    <n v="2"/>
    <n v="0"/>
    <s v="345764"/>
    <n v="18"/>
    <x v="0"/>
    <x v="0"/>
    <n v="3"/>
    <x v="0"/>
    <x v="0"/>
    <x v="0"/>
    <n v="2"/>
  </r>
  <r>
    <n v="40"/>
    <n v="1"/>
    <n v="3"/>
    <s v="Nicola-Yarred, Miss. Jamila"/>
    <x v="1"/>
    <n v="14"/>
    <n v="1"/>
    <n v="0"/>
    <s v="2651"/>
    <n v="11.2417"/>
    <x v="1"/>
    <x v="2"/>
    <n v="2"/>
    <x v="0"/>
    <x v="0"/>
    <x v="0"/>
    <n v="2"/>
  </r>
  <r>
    <n v="41"/>
    <n v="0"/>
    <n v="3"/>
    <s v="Ahlin, Mrs. Johan (Johanna Persdotter Larsson)"/>
    <x v="1"/>
    <n v="40"/>
    <n v="1"/>
    <n v="0"/>
    <s v="7546"/>
    <n v="9.4749999999999996"/>
    <x v="0"/>
    <x v="1"/>
    <n v="2"/>
    <x v="0"/>
    <x v="0"/>
    <x v="0"/>
    <n v="2"/>
  </r>
  <r>
    <n v="42"/>
    <n v="0"/>
    <n v="2"/>
    <s v="Turpin, Mrs. William John Robert (Dorothy Ann Wonnacott)"/>
    <x v="1"/>
    <n v="27"/>
    <n v="1"/>
    <n v="0"/>
    <s v="11668"/>
    <n v="21"/>
    <x v="0"/>
    <x v="0"/>
    <n v="2"/>
    <x v="0"/>
    <x v="0"/>
    <x v="2"/>
    <n v="2"/>
  </r>
  <r>
    <n v="43"/>
    <n v="0"/>
    <n v="3"/>
    <s v="Kraeff, Mr. Theodor"/>
    <x v="0"/>
    <n v="26"/>
    <n v="0"/>
    <n v="0"/>
    <s v="349253"/>
    <n v="7.8958000000000004"/>
    <x v="0"/>
    <x v="0"/>
    <n v="1"/>
    <x v="1"/>
    <x v="0"/>
    <x v="0"/>
    <n v="1"/>
  </r>
  <r>
    <n v="44"/>
    <n v="1"/>
    <n v="2"/>
    <s v="Laroche, Miss. Simonne Marie Anne Andree"/>
    <x v="1"/>
    <n v="3"/>
    <n v="1"/>
    <n v="2"/>
    <s v="SC/Paris 2123"/>
    <n v="41.5792"/>
    <x v="1"/>
    <x v="2"/>
    <n v="4"/>
    <x v="0"/>
    <x v="1"/>
    <x v="2"/>
    <n v="2"/>
  </r>
  <r>
    <n v="45"/>
    <n v="1"/>
    <n v="3"/>
    <s v="Devaney, Miss. Margaret Delia"/>
    <x v="1"/>
    <n v="19"/>
    <n v="0"/>
    <n v="0"/>
    <s v="330958"/>
    <n v="7.8792"/>
    <x v="1"/>
    <x v="0"/>
    <n v="1"/>
    <x v="1"/>
    <x v="0"/>
    <x v="0"/>
    <n v="2"/>
  </r>
  <r>
    <n v="46"/>
    <n v="0"/>
    <n v="3"/>
    <s v="Rogers, Mr. William John"/>
    <x v="0"/>
    <n v="26"/>
    <n v="0"/>
    <n v="0"/>
    <s v="S.C./A.4. 23567"/>
    <n v="8.0500000000000007"/>
    <x v="0"/>
    <x v="0"/>
    <n v="1"/>
    <x v="1"/>
    <x v="0"/>
    <x v="0"/>
    <n v="1"/>
  </r>
  <r>
    <n v="47"/>
    <n v="0"/>
    <n v="3"/>
    <s v="Lennon, Mr. Denis"/>
    <x v="0"/>
    <n v="26"/>
    <n v="1"/>
    <n v="0"/>
    <s v="370371"/>
    <n v="15.5"/>
    <x v="0"/>
    <x v="0"/>
    <n v="2"/>
    <x v="0"/>
    <x v="0"/>
    <x v="0"/>
    <n v="1"/>
  </r>
  <r>
    <n v="48"/>
    <n v="1"/>
    <n v="3"/>
    <s v="O'Driscoll, Miss. Bridget"/>
    <x v="1"/>
    <n v="26"/>
    <n v="0"/>
    <n v="0"/>
    <s v="14311"/>
    <n v="7.75"/>
    <x v="1"/>
    <x v="0"/>
    <n v="1"/>
    <x v="1"/>
    <x v="0"/>
    <x v="0"/>
    <n v="2"/>
  </r>
  <r>
    <n v="49"/>
    <n v="0"/>
    <n v="3"/>
    <s v="Samaan, Mr. Youssef"/>
    <x v="0"/>
    <n v="26"/>
    <n v="2"/>
    <n v="0"/>
    <s v="2662"/>
    <n v="21.679200000000002"/>
    <x v="0"/>
    <x v="0"/>
    <n v="3"/>
    <x v="0"/>
    <x v="0"/>
    <x v="0"/>
    <n v="1"/>
  </r>
  <r>
    <n v="50"/>
    <n v="0"/>
    <n v="3"/>
    <s v="Arnold-Franchi, Mrs. Josef (Josefine Franchi)"/>
    <x v="1"/>
    <n v="18"/>
    <n v="1"/>
    <n v="0"/>
    <s v="349237"/>
    <n v="17.8"/>
    <x v="0"/>
    <x v="0"/>
    <n v="2"/>
    <x v="0"/>
    <x v="0"/>
    <x v="0"/>
    <n v="2"/>
  </r>
  <r>
    <n v="51"/>
    <n v="0"/>
    <n v="3"/>
    <s v="Panula, Master. Juha Niilo"/>
    <x v="0"/>
    <n v="7"/>
    <n v="4"/>
    <n v="1"/>
    <s v="3101295"/>
    <n v="39.6875"/>
    <x v="0"/>
    <x v="2"/>
    <n v="6"/>
    <x v="2"/>
    <x v="1"/>
    <x v="0"/>
    <n v="1"/>
  </r>
  <r>
    <n v="52"/>
    <n v="0"/>
    <n v="3"/>
    <s v="Nosworthy, Mr. Richard Cater"/>
    <x v="0"/>
    <n v="21"/>
    <n v="0"/>
    <n v="0"/>
    <s v="A/4. 39886"/>
    <n v="7.8"/>
    <x v="0"/>
    <x v="0"/>
    <n v="1"/>
    <x v="1"/>
    <x v="0"/>
    <x v="0"/>
    <n v="1"/>
  </r>
  <r>
    <n v="53"/>
    <n v="1"/>
    <n v="1"/>
    <s v="Harper, Mrs. Henry Sleeper (Myna Haxtun)"/>
    <x v="1"/>
    <n v="49"/>
    <n v="1"/>
    <n v="0"/>
    <s v="PC 17572"/>
    <n v="76.729200000000006"/>
    <x v="1"/>
    <x v="1"/>
    <n v="2"/>
    <x v="0"/>
    <x v="1"/>
    <x v="1"/>
    <n v="2"/>
  </r>
  <r>
    <n v="54"/>
    <n v="1"/>
    <n v="2"/>
    <s v="Faunthorpe, Mrs. Lizzie (Elizabeth Anne Wilkinson)"/>
    <x v="1"/>
    <n v="29"/>
    <n v="1"/>
    <n v="0"/>
    <s v="2926"/>
    <n v="26"/>
    <x v="1"/>
    <x v="0"/>
    <n v="2"/>
    <x v="0"/>
    <x v="1"/>
    <x v="2"/>
    <n v="2"/>
  </r>
  <r>
    <n v="55"/>
    <n v="0"/>
    <n v="1"/>
    <s v="Ostby, Mr. Engelhart Cornelius"/>
    <x v="0"/>
    <n v="65"/>
    <n v="0"/>
    <n v="1"/>
    <s v="113509"/>
    <n v="61.979199999999999"/>
    <x v="0"/>
    <x v="3"/>
    <n v="2"/>
    <x v="0"/>
    <x v="1"/>
    <x v="1"/>
    <n v="1"/>
  </r>
  <r>
    <n v="56"/>
    <n v="1"/>
    <n v="1"/>
    <s v="Woolner, Mr. Hugh"/>
    <x v="0"/>
    <n v="26"/>
    <n v="0"/>
    <n v="0"/>
    <s v="19947"/>
    <n v="35.5"/>
    <x v="1"/>
    <x v="0"/>
    <n v="1"/>
    <x v="1"/>
    <x v="1"/>
    <x v="1"/>
    <n v="1"/>
  </r>
  <r>
    <n v="57"/>
    <n v="1"/>
    <n v="2"/>
    <s v="Rugg, Miss. Emily"/>
    <x v="1"/>
    <n v="21"/>
    <n v="0"/>
    <n v="0"/>
    <s v="C.A. 31026"/>
    <n v="10.5"/>
    <x v="1"/>
    <x v="0"/>
    <n v="1"/>
    <x v="1"/>
    <x v="0"/>
    <x v="2"/>
    <n v="2"/>
  </r>
  <r>
    <n v="58"/>
    <n v="0"/>
    <n v="3"/>
    <s v="Novel, Mr. Mansouer"/>
    <x v="0"/>
    <n v="28.5"/>
    <n v="0"/>
    <n v="0"/>
    <s v="2697"/>
    <n v="7.2291999999999996"/>
    <x v="0"/>
    <x v="0"/>
    <n v="1"/>
    <x v="1"/>
    <x v="0"/>
    <x v="0"/>
    <n v="1"/>
  </r>
  <r>
    <n v="59"/>
    <n v="1"/>
    <n v="2"/>
    <s v="West, Miss. Constance Mirium"/>
    <x v="1"/>
    <n v="5"/>
    <n v="1"/>
    <n v="2"/>
    <s v="C.A. 34651"/>
    <n v="27.75"/>
    <x v="1"/>
    <x v="2"/>
    <n v="4"/>
    <x v="0"/>
    <x v="1"/>
    <x v="2"/>
    <n v="2"/>
  </r>
  <r>
    <n v="60"/>
    <n v="0"/>
    <n v="3"/>
    <s v="Goodwin, Master. William Frederick"/>
    <x v="0"/>
    <n v="11"/>
    <n v="5"/>
    <n v="2"/>
    <s v="CA 2144"/>
    <n v="46.9"/>
    <x v="0"/>
    <x v="2"/>
    <n v="8"/>
    <x v="2"/>
    <x v="1"/>
    <x v="0"/>
    <n v="1"/>
  </r>
  <r>
    <n v="61"/>
    <n v="0"/>
    <n v="3"/>
    <s v="Sirayanian, Mr. Orsen"/>
    <x v="0"/>
    <n v="22"/>
    <n v="0"/>
    <n v="0"/>
    <s v="2669"/>
    <n v="7.2291999999999996"/>
    <x v="0"/>
    <x v="0"/>
    <n v="1"/>
    <x v="1"/>
    <x v="0"/>
    <x v="0"/>
    <n v="1"/>
  </r>
  <r>
    <n v="62"/>
    <n v="1"/>
    <n v="1"/>
    <s v="Icard, Miss. Amelie"/>
    <x v="1"/>
    <n v="38"/>
    <n v="0"/>
    <n v="0"/>
    <s v="113572"/>
    <n v="80"/>
    <x v="1"/>
    <x v="1"/>
    <n v="1"/>
    <x v="1"/>
    <x v="1"/>
    <x v="1"/>
    <n v="2"/>
  </r>
  <r>
    <n v="63"/>
    <n v="0"/>
    <n v="1"/>
    <s v="Harris, Mr. Henry Birkhardt"/>
    <x v="0"/>
    <n v="45"/>
    <n v="1"/>
    <n v="0"/>
    <s v="36973"/>
    <n v="83.474999999999994"/>
    <x v="0"/>
    <x v="1"/>
    <n v="2"/>
    <x v="0"/>
    <x v="1"/>
    <x v="1"/>
    <n v="1"/>
  </r>
  <r>
    <n v="64"/>
    <n v="0"/>
    <n v="3"/>
    <s v="Skoog, Master. Harald"/>
    <x v="0"/>
    <n v="4"/>
    <n v="3"/>
    <n v="2"/>
    <s v="347088"/>
    <n v="27.9"/>
    <x v="0"/>
    <x v="2"/>
    <n v="6"/>
    <x v="2"/>
    <x v="1"/>
    <x v="0"/>
    <n v="1"/>
  </r>
  <r>
    <n v="65"/>
    <n v="0"/>
    <n v="1"/>
    <s v="Stewart, Mr. Albert A"/>
    <x v="0"/>
    <n v="26"/>
    <n v="0"/>
    <n v="0"/>
    <s v="PC 17605"/>
    <n v="27.720800000000001"/>
    <x v="0"/>
    <x v="0"/>
    <n v="1"/>
    <x v="1"/>
    <x v="1"/>
    <x v="1"/>
    <n v="1"/>
  </r>
  <r>
    <n v="66"/>
    <n v="1"/>
    <n v="3"/>
    <s v="Moubarek, Master. Gerios"/>
    <x v="0"/>
    <n v="26"/>
    <n v="1"/>
    <n v="1"/>
    <s v="2661"/>
    <n v="15.245799999999999"/>
    <x v="1"/>
    <x v="0"/>
    <n v="3"/>
    <x v="0"/>
    <x v="0"/>
    <x v="0"/>
    <n v="1"/>
  </r>
  <r>
    <n v="67"/>
    <n v="1"/>
    <n v="2"/>
    <s v="Nye, Mrs. (Elizabeth Ramell)"/>
    <x v="1"/>
    <n v="29"/>
    <n v="0"/>
    <n v="0"/>
    <s v="C.A. 29395"/>
    <n v="10.5"/>
    <x v="1"/>
    <x v="0"/>
    <n v="1"/>
    <x v="1"/>
    <x v="0"/>
    <x v="2"/>
    <n v="2"/>
  </r>
  <r>
    <n v="68"/>
    <n v="0"/>
    <n v="3"/>
    <s v="Crease, Mr. Ernest James"/>
    <x v="0"/>
    <n v="19"/>
    <n v="0"/>
    <n v="0"/>
    <s v="S.P. 3464"/>
    <n v="8.1583000000000006"/>
    <x v="0"/>
    <x v="0"/>
    <n v="1"/>
    <x v="1"/>
    <x v="0"/>
    <x v="0"/>
    <n v="1"/>
  </r>
  <r>
    <n v="69"/>
    <n v="1"/>
    <n v="3"/>
    <s v="Andersson, Miss. Erna Alexandra"/>
    <x v="1"/>
    <n v="17"/>
    <n v="4"/>
    <n v="2"/>
    <s v="3101281"/>
    <n v="7.9249999999999998"/>
    <x v="1"/>
    <x v="2"/>
    <n v="7"/>
    <x v="2"/>
    <x v="0"/>
    <x v="0"/>
    <n v="2"/>
  </r>
  <r>
    <n v="70"/>
    <n v="0"/>
    <n v="3"/>
    <s v="Kink, Mr. Vincenz"/>
    <x v="0"/>
    <n v="26"/>
    <n v="2"/>
    <n v="0"/>
    <s v="315151"/>
    <n v="8.6624999999999996"/>
    <x v="0"/>
    <x v="0"/>
    <n v="3"/>
    <x v="0"/>
    <x v="0"/>
    <x v="0"/>
    <n v="1"/>
  </r>
  <r>
    <n v="71"/>
    <n v="0"/>
    <n v="2"/>
    <s v="Jenkin, Mr. Stephen Curnow"/>
    <x v="0"/>
    <n v="32"/>
    <n v="0"/>
    <n v="0"/>
    <s v="C.A. 33111"/>
    <n v="10.5"/>
    <x v="0"/>
    <x v="0"/>
    <n v="1"/>
    <x v="1"/>
    <x v="0"/>
    <x v="2"/>
    <n v="1"/>
  </r>
  <r>
    <n v="72"/>
    <n v="0"/>
    <n v="3"/>
    <s v="Goodwin, Miss. Lillian Amy"/>
    <x v="1"/>
    <n v="16"/>
    <n v="5"/>
    <n v="2"/>
    <s v="CA 2144"/>
    <n v="46.9"/>
    <x v="0"/>
    <x v="2"/>
    <n v="8"/>
    <x v="2"/>
    <x v="1"/>
    <x v="0"/>
    <n v="2"/>
  </r>
  <r>
    <n v="73"/>
    <n v="0"/>
    <n v="2"/>
    <s v="Hood, Mr. Ambrose Jr"/>
    <x v="0"/>
    <n v="21"/>
    <n v="0"/>
    <n v="0"/>
    <s v="S.O.C. 14879"/>
    <n v="73.5"/>
    <x v="0"/>
    <x v="0"/>
    <n v="1"/>
    <x v="1"/>
    <x v="1"/>
    <x v="2"/>
    <n v="1"/>
  </r>
  <r>
    <n v="74"/>
    <n v="0"/>
    <n v="3"/>
    <s v="Chronopoulos, Mr. Apostolos"/>
    <x v="0"/>
    <n v="26"/>
    <n v="1"/>
    <n v="0"/>
    <s v="2680"/>
    <n v="14.4542"/>
    <x v="0"/>
    <x v="0"/>
    <n v="2"/>
    <x v="0"/>
    <x v="0"/>
    <x v="0"/>
    <n v="1"/>
  </r>
  <r>
    <n v="75"/>
    <n v="1"/>
    <n v="3"/>
    <s v="Bing, Mr. Lee"/>
    <x v="0"/>
    <n v="32"/>
    <n v="0"/>
    <n v="0"/>
    <s v="1601"/>
    <n v="56.495800000000003"/>
    <x v="1"/>
    <x v="0"/>
    <n v="1"/>
    <x v="1"/>
    <x v="1"/>
    <x v="0"/>
    <n v="1"/>
  </r>
  <r>
    <n v="76"/>
    <n v="0"/>
    <n v="3"/>
    <s v="Moen, Mr. Sigurd Hansen"/>
    <x v="0"/>
    <n v="25"/>
    <n v="0"/>
    <n v="0"/>
    <s v="348123"/>
    <n v="7.65"/>
    <x v="0"/>
    <x v="0"/>
    <n v="1"/>
    <x v="1"/>
    <x v="0"/>
    <x v="0"/>
    <n v="1"/>
  </r>
  <r>
    <n v="77"/>
    <n v="0"/>
    <n v="3"/>
    <s v="Staneff, Mr. Ivan"/>
    <x v="0"/>
    <n v="26"/>
    <n v="0"/>
    <n v="0"/>
    <s v="349208"/>
    <n v="7.8958000000000004"/>
    <x v="0"/>
    <x v="0"/>
    <n v="1"/>
    <x v="1"/>
    <x v="0"/>
    <x v="0"/>
    <n v="1"/>
  </r>
  <r>
    <n v="78"/>
    <n v="0"/>
    <n v="3"/>
    <s v="Moutal, Mr. Rahamin Haim"/>
    <x v="0"/>
    <n v="26"/>
    <n v="0"/>
    <n v="0"/>
    <s v="374746"/>
    <n v="8.0500000000000007"/>
    <x v="0"/>
    <x v="0"/>
    <n v="1"/>
    <x v="1"/>
    <x v="0"/>
    <x v="0"/>
    <n v="1"/>
  </r>
  <r>
    <n v="79"/>
    <n v="1"/>
    <n v="2"/>
    <s v="Caldwell, Master. Alden Gates"/>
    <x v="0"/>
    <n v="0.83"/>
    <n v="0"/>
    <n v="2"/>
    <s v="248738"/>
    <n v="29"/>
    <x v="1"/>
    <x v="2"/>
    <n v="3"/>
    <x v="0"/>
    <x v="1"/>
    <x v="2"/>
    <n v="1"/>
  </r>
  <r>
    <n v="80"/>
    <n v="1"/>
    <n v="3"/>
    <s v="Dowdell, Miss. Elizabeth"/>
    <x v="1"/>
    <n v="30"/>
    <n v="0"/>
    <n v="0"/>
    <s v="364516"/>
    <n v="12.475"/>
    <x v="1"/>
    <x v="0"/>
    <n v="1"/>
    <x v="1"/>
    <x v="0"/>
    <x v="0"/>
    <n v="2"/>
  </r>
  <r>
    <n v="81"/>
    <n v="0"/>
    <n v="3"/>
    <s v="Waelens, Mr. Achille"/>
    <x v="0"/>
    <n v="22"/>
    <n v="0"/>
    <n v="0"/>
    <s v="345767"/>
    <n v="9"/>
    <x v="0"/>
    <x v="0"/>
    <n v="1"/>
    <x v="1"/>
    <x v="0"/>
    <x v="0"/>
    <n v="1"/>
  </r>
  <r>
    <n v="82"/>
    <n v="1"/>
    <n v="3"/>
    <s v="Sheerlinck, Mr. Jan Baptist"/>
    <x v="0"/>
    <n v="29"/>
    <n v="0"/>
    <n v="0"/>
    <s v="345779"/>
    <n v="9.5"/>
    <x v="1"/>
    <x v="0"/>
    <n v="1"/>
    <x v="1"/>
    <x v="0"/>
    <x v="0"/>
    <n v="1"/>
  </r>
  <r>
    <n v="83"/>
    <n v="1"/>
    <n v="3"/>
    <s v="McDermott, Miss. Brigdet Delia"/>
    <x v="1"/>
    <n v="26"/>
    <n v="0"/>
    <n v="0"/>
    <s v="330932"/>
    <n v="7.7874999999999996"/>
    <x v="1"/>
    <x v="0"/>
    <n v="1"/>
    <x v="1"/>
    <x v="0"/>
    <x v="0"/>
    <n v="2"/>
  </r>
  <r>
    <n v="84"/>
    <n v="0"/>
    <n v="1"/>
    <s v="Carrau, Mr. Francisco M"/>
    <x v="0"/>
    <n v="28"/>
    <n v="0"/>
    <n v="0"/>
    <s v="113059"/>
    <n v="47.1"/>
    <x v="0"/>
    <x v="0"/>
    <n v="1"/>
    <x v="1"/>
    <x v="1"/>
    <x v="1"/>
    <n v="1"/>
  </r>
  <r>
    <n v="85"/>
    <n v="1"/>
    <n v="2"/>
    <s v="Ilett, Miss. Bertha"/>
    <x v="1"/>
    <n v="17"/>
    <n v="0"/>
    <n v="0"/>
    <s v="SO/C 14885"/>
    <n v="10.5"/>
    <x v="1"/>
    <x v="2"/>
    <n v="1"/>
    <x v="1"/>
    <x v="0"/>
    <x v="2"/>
    <n v="2"/>
  </r>
  <r>
    <n v="86"/>
    <n v="1"/>
    <n v="3"/>
    <s v="Backstrom, Mrs. Karl Alfred (Maria Mathilda Gustafsson)"/>
    <x v="1"/>
    <n v="33"/>
    <n v="3"/>
    <n v="0"/>
    <s v="3101278"/>
    <n v="15.85"/>
    <x v="1"/>
    <x v="0"/>
    <n v="4"/>
    <x v="0"/>
    <x v="0"/>
    <x v="0"/>
    <n v="2"/>
  </r>
  <r>
    <n v="87"/>
    <n v="0"/>
    <n v="3"/>
    <s v="Ford, Mr. William Neal"/>
    <x v="0"/>
    <n v="16"/>
    <n v="1"/>
    <n v="3"/>
    <s v="W./C. 6608"/>
    <n v="34.375"/>
    <x v="0"/>
    <x v="2"/>
    <n v="5"/>
    <x v="2"/>
    <x v="1"/>
    <x v="0"/>
    <n v="1"/>
  </r>
  <r>
    <n v="88"/>
    <n v="0"/>
    <n v="3"/>
    <s v="Slocovski, Mr. Selman Francis"/>
    <x v="0"/>
    <n v="26"/>
    <n v="0"/>
    <n v="0"/>
    <s v="SOTON/OQ 392086"/>
    <n v="8.0500000000000007"/>
    <x v="0"/>
    <x v="0"/>
    <n v="1"/>
    <x v="1"/>
    <x v="0"/>
    <x v="0"/>
    <n v="1"/>
  </r>
  <r>
    <n v="89"/>
    <n v="1"/>
    <n v="1"/>
    <s v="Fortune, Miss. Mabel Helen"/>
    <x v="1"/>
    <n v="23"/>
    <n v="3"/>
    <n v="2"/>
    <s v="19950"/>
    <n v="263"/>
    <x v="1"/>
    <x v="0"/>
    <n v="6"/>
    <x v="2"/>
    <x v="2"/>
    <x v="1"/>
    <n v="2"/>
  </r>
  <r>
    <n v="90"/>
    <n v="0"/>
    <n v="3"/>
    <s v="Celotti, Mr. Francesco"/>
    <x v="0"/>
    <n v="24"/>
    <n v="0"/>
    <n v="0"/>
    <s v="343275"/>
    <n v="8.0500000000000007"/>
    <x v="0"/>
    <x v="0"/>
    <n v="1"/>
    <x v="1"/>
    <x v="0"/>
    <x v="0"/>
    <n v="1"/>
  </r>
  <r>
    <n v="91"/>
    <n v="0"/>
    <n v="3"/>
    <s v="Christmann, Mr. Emil"/>
    <x v="0"/>
    <n v="29"/>
    <n v="0"/>
    <n v="0"/>
    <s v="343276"/>
    <n v="8.0500000000000007"/>
    <x v="0"/>
    <x v="0"/>
    <n v="1"/>
    <x v="1"/>
    <x v="0"/>
    <x v="0"/>
    <n v="1"/>
  </r>
  <r>
    <n v="92"/>
    <n v="0"/>
    <n v="3"/>
    <s v="Andreasson, Mr. Paul Edvin"/>
    <x v="0"/>
    <n v="20"/>
    <n v="0"/>
    <n v="0"/>
    <s v="347466"/>
    <n v="7.8541999999999996"/>
    <x v="0"/>
    <x v="0"/>
    <n v="1"/>
    <x v="1"/>
    <x v="0"/>
    <x v="0"/>
    <n v="1"/>
  </r>
  <r>
    <n v="93"/>
    <n v="0"/>
    <n v="1"/>
    <s v="Chaffee, Mr. Herbert Fuller"/>
    <x v="0"/>
    <n v="46"/>
    <n v="1"/>
    <n v="0"/>
    <s v="W.E.P. 5734"/>
    <n v="61.174999999999997"/>
    <x v="0"/>
    <x v="1"/>
    <n v="2"/>
    <x v="0"/>
    <x v="1"/>
    <x v="1"/>
    <n v="1"/>
  </r>
  <r>
    <n v="94"/>
    <n v="0"/>
    <n v="3"/>
    <s v="Dean, Mr. Bertram Frank"/>
    <x v="0"/>
    <n v="26"/>
    <n v="1"/>
    <n v="2"/>
    <s v="C.A. 2315"/>
    <n v="20.574999999999999"/>
    <x v="0"/>
    <x v="0"/>
    <n v="4"/>
    <x v="0"/>
    <x v="0"/>
    <x v="0"/>
    <n v="1"/>
  </r>
  <r>
    <n v="95"/>
    <n v="0"/>
    <n v="3"/>
    <s v="Coxon, Mr. Daniel"/>
    <x v="0"/>
    <n v="59"/>
    <n v="0"/>
    <n v="0"/>
    <s v="364500"/>
    <n v="7.25"/>
    <x v="0"/>
    <x v="1"/>
    <n v="1"/>
    <x v="1"/>
    <x v="0"/>
    <x v="0"/>
    <n v="1"/>
  </r>
  <r>
    <n v="96"/>
    <n v="0"/>
    <n v="3"/>
    <s v="Shorney, Mr. Charles Joseph"/>
    <x v="0"/>
    <n v="26"/>
    <n v="0"/>
    <n v="0"/>
    <s v="374910"/>
    <n v="8.0500000000000007"/>
    <x v="0"/>
    <x v="0"/>
    <n v="1"/>
    <x v="1"/>
    <x v="0"/>
    <x v="0"/>
    <n v="1"/>
  </r>
  <r>
    <n v="97"/>
    <n v="0"/>
    <n v="1"/>
    <s v="Goldschmidt, Mr. George B"/>
    <x v="0"/>
    <n v="71"/>
    <n v="0"/>
    <n v="0"/>
    <s v="PC 17754"/>
    <n v="34.654200000000003"/>
    <x v="0"/>
    <x v="3"/>
    <n v="1"/>
    <x v="1"/>
    <x v="1"/>
    <x v="1"/>
    <n v="1"/>
  </r>
  <r>
    <n v="98"/>
    <n v="1"/>
    <n v="1"/>
    <s v="Greenfield, Mr. William Bertram"/>
    <x v="0"/>
    <n v="23"/>
    <n v="0"/>
    <n v="1"/>
    <s v="PC 17759"/>
    <n v="63.3583"/>
    <x v="1"/>
    <x v="0"/>
    <n v="2"/>
    <x v="0"/>
    <x v="1"/>
    <x v="1"/>
    <n v="1"/>
  </r>
  <r>
    <n v="99"/>
    <n v="1"/>
    <n v="2"/>
    <s v="Doling, Mrs. John T (Ada Julia Bone)"/>
    <x v="1"/>
    <n v="34"/>
    <n v="0"/>
    <n v="1"/>
    <s v="231919"/>
    <n v="23"/>
    <x v="1"/>
    <x v="0"/>
    <n v="2"/>
    <x v="0"/>
    <x v="0"/>
    <x v="2"/>
    <n v="2"/>
  </r>
  <r>
    <n v="100"/>
    <n v="0"/>
    <n v="2"/>
    <s v="Kantor, Mr. Sinai"/>
    <x v="0"/>
    <n v="34"/>
    <n v="1"/>
    <n v="0"/>
    <s v="244367"/>
    <n v="26"/>
    <x v="0"/>
    <x v="0"/>
    <n v="2"/>
    <x v="0"/>
    <x v="1"/>
    <x v="2"/>
    <n v="1"/>
  </r>
  <r>
    <n v="101"/>
    <n v="0"/>
    <n v="3"/>
    <s v="Petranec, Miss. Matilda"/>
    <x v="1"/>
    <n v="28"/>
    <n v="0"/>
    <n v="0"/>
    <s v="349245"/>
    <n v="7.8958000000000004"/>
    <x v="0"/>
    <x v="0"/>
    <n v="1"/>
    <x v="1"/>
    <x v="0"/>
    <x v="0"/>
    <n v="2"/>
  </r>
  <r>
    <n v="102"/>
    <n v="0"/>
    <n v="3"/>
    <s v="Petroff, Mr. Pastcho (&quot;Pentcho&quot;)"/>
    <x v="0"/>
    <n v="26"/>
    <n v="0"/>
    <n v="0"/>
    <s v="349215"/>
    <n v="7.8958000000000004"/>
    <x v="0"/>
    <x v="0"/>
    <n v="1"/>
    <x v="1"/>
    <x v="0"/>
    <x v="0"/>
    <n v="1"/>
  </r>
  <r>
    <n v="103"/>
    <n v="0"/>
    <n v="1"/>
    <s v="White, Mr. Richard Frasar"/>
    <x v="0"/>
    <n v="21"/>
    <n v="0"/>
    <n v="1"/>
    <s v="35281"/>
    <n v="77.287499999999994"/>
    <x v="0"/>
    <x v="0"/>
    <n v="2"/>
    <x v="0"/>
    <x v="1"/>
    <x v="1"/>
    <n v="1"/>
  </r>
  <r>
    <n v="104"/>
    <n v="0"/>
    <n v="3"/>
    <s v="Johansson, Mr. Gustaf Joel"/>
    <x v="0"/>
    <n v="33"/>
    <n v="0"/>
    <n v="0"/>
    <s v="7540"/>
    <n v="8.6541999999999994"/>
    <x v="0"/>
    <x v="0"/>
    <n v="1"/>
    <x v="1"/>
    <x v="0"/>
    <x v="0"/>
    <n v="1"/>
  </r>
  <r>
    <n v="105"/>
    <n v="0"/>
    <n v="3"/>
    <s v="Gustafsson, Mr. Anders Vilhelm"/>
    <x v="0"/>
    <n v="37"/>
    <n v="2"/>
    <n v="0"/>
    <s v="3101276"/>
    <n v="7.9249999999999998"/>
    <x v="0"/>
    <x v="1"/>
    <n v="3"/>
    <x v="0"/>
    <x v="0"/>
    <x v="0"/>
    <n v="1"/>
  </r>
  <r>
    <n v="106"/>
    <n v="0"/>
    <n v="3"/>
    <s v="Mionoff, Mr. Stoytcho"/>
    <x v="0"/>
    <n v="28"/>
    <n v="0"/>
    <n v="0"/>
    <s v="349207"/>
    <n v="7.8958000000000004"/>
    <x v="0"/>
    <x v="0"/>
    <n v="1"/>
    <x v="1"/>
    <x v="0"/>
    <x v="0"/>
    <n v="1"/>
  </r>
  <r>
    <n v="107"/>
    <n v="1"/>
    <n v="3"/>
    <s v="Salkjelsvik, Miss. Anna Kristine"/>
    <x v="1"/>
    <n v="21"/>
    <n v="0"/>
    <n v="0"/>
    <s v="343120"/>
    <n v="7.65"/>
    <x v="1"/>
    <x v="0"/>
    <n v="1"/>
    <x v="1"/>
    <x v="0"/>
    <x v="0"/>
    <n v="2"/>
  </r>
  <r>
    <n v="108"/>
    <n v="1"/>
    <n v="3"/>
    <s v="Moss, Mr. Albert Johan"/>
    <x v="0"/>
    <n v="26"/>
    <n v="0"/>
    <n v="0"/>
    <s v="312991"/>
    <n v="7.7750000000000004"/>
    <x v="1"/>
    <x v="0"/>
    <n v="1"/>
    <x v="1"/>
    <x v="0"/>
    <x v="0"/>
    <n v="1"/>
  </r>
  <r>
    <n v="109"/>
    <n v="0"/>
    <n v="3"/>
    <s v="Rekic, Mr. Tido"/>
    <x v="0"/>
    <n v="38"/>
    <n v="0"/>
    <n v="0"/>
    <s v="349249"/>
    <n v="7.8958000000000004"/>
    <x v="0"/>
    <x v="1"/>
    <n v="1"/>
    <x v="1"/>
    <x v="0"/>
    <x v="0"/>
    <n v="1"/>
  </r>
  <r>
    <n v="110"/>
    <n v="1"/>
    <n v="3"/>
    <s v="Moran, Miss. Bertha"/>
    <x v="1"/>
    <n v="26"/>
    <n v="1"/>
    <n v="0"/>
    <s v="371110"/>
    <n v="24.15"/>
    <x v="1"/>
    <x v="0"/>
    <n v="2"/>
    <x v="0"/>
    <x v="0"/>
    <x v="0"/>
    <n v="2"/>
  </r>
  <r>
    <n v="111"/>
    <n v="0"/>
    <n v="1"/>
    <s v="Porter, Mr. Walter Chamberlain"/>
    <x v="0"/>
    <n v="47"/>
    <n v="0"/>
    <n v="0"/>
    <s v="110465"/>
    <n v="52"/>
    <x v="0"/>
    <x v="1"/>
    <n v="1"/>
    <x v="1"/>
    <x v="1"/>
    <x v="1"/>
    <n v="1"/>
  </r>
  <r>
    <n v="112"/>
    <n v="0"/>
    <n v="3"/>
    <s v="Zabour, Miss. Hileni"/>
    <x v="1"/>
    <n v="14.5"/>
    <n v="1"/>
    <n v="0"/>
    <s v="2665"/>
    <n v="14.4542"/>
    <x v="0"/>
    <x v="2"/>
    <n v="2"/>
    <x v="0"/>
    <x v="0"/>
    <x v="0"/>
    <n v="2"/>
  </r>
  <r>
    <n v="113"/>
    <n v="0"/>
    <n v="3"/>
    <s v="Barton, Mr. David John"/>
    <x v="0"/>
    <n v="22"/>
    <n v="0"/>
    <n v="0"/>
    <s v="324669"/>
    <n v="8.0500000000000007"/>
    <x v="0"/>
    <x v="0"/>
    <n v="1"/>
    <x v="1"/>
    <x v="0"/>
    <x v="0"/>
    <n v="1"/>
  </r>
  <r>
    <n v="114"/>
    <n v="0"/>
    <n v="3"/>
    <s v="Jussila, Miss. Katriina"/>
    <x v="1"/>
    <n v="20"/>
    <n v="1"/>
    <n v="0"/>
    <s v="4136"/>
    <n v="9.8249999999999993"/>
    <x v="0"/>
    <x v="0"/>
    <n v="2"/>
    <x v="0"/>
    <x v="0"/>
    <x v="0"/>
    <n v="2"/>
  </r>
  <r>
    <n v="115"/>
    <n v="0"/>
    <n v="3"/>
    <s v="Attalah, Miss. Malake"/>
    <x v="1"/>
    <n v="17"/>
    <n v="0"/>
    <n v="0"/>
    <s v="2627"/>
    <n v="14.458299999999999"/>
    <x v="0"/>
    <x v="2"/>
    <n v="1"/>
    <x v="1"/>
    <x v="0"/>
    <x v="0"/>
    <n v="2"/>
  </r>
  <r>
    <n v="116"/>
    <n v="0"/>
    <n v="3"/>
    <s v="Pekoniemi, Mr. Edvard"/>
    <x v="0"/>
    <n v="21"/>
    <n v="0"/>
    <n v="0"/>
    <s v="STON/O 2. 3101294"/>
    <n v="7.9249999999999998"/>
    <x v="0"/>
    <x v="0"/>
    <n v="1"/>
    <x v="1"/>
    <x v="0"/>
    <x v="0"/>
    <n v="1"/>
  </r>
  <r>
    <n v="117"/>
    <n v="0"/>
    <n v="3"/>
    <s v="Connors, Mr. Patrick"/>
    <x v="0"/>
    <n v="70.5"/>
    <n v="0"/>
    <n v="0"/>
    <s v="370369"/>
    <n v="7.75"/>
    <x v="0"/>
    <x v="3"/>
    <n v="1"/>
    <x v="1"/>
    <x v="0"/>
    <x v="0"/>
    <n v="1"/>
  </r>
  <r>
    <n v="118"/>
    <n v="0"/>
    <n v="2"/>
    <s v="Turpin, Mr. William John Robert"/>
    <x v="0"/>
    <n v="29"/>
    <n v="1"/>
    <n v="0"/>
    <s v="11668"/>
    <n v="21"/>
    <x v="0"/>
    <x v="0"/>
    <n v="2"/>
    <x v="0"/>
    <x v="0"/>
    <x v="2"/>
    <n v="1"/>
  </r>
  <r>
    <n v="119"/>
    <n v="0"/>
    <n v="1"/>
    <s v="Baxter, Mr. Quigg Edmond"/>
    <x v="0"/>
    <n v="24"/>
    <n v="0"/>
    <n v="1"/>
    <s v="PC 17558"/>
    <n v="247.52080000000001"/>
    <x v="0"/>
    <x v="0"/>
    <n v="2"/>
    <x v="0"/>
    <x v="2"/>
    <x v="1"/>
    <n v="1"/>
  </r>
  <r>
    <n v="120"/>
    <n v="0"/>
    <n v="3"/>
    <s v="Andersson, Miss. Ellis Anna Maria"/>
    <x v="1"/>
    <n v="2"/>
    <n v="4"/>
    <n v="2"/>
    <s v="347082"/>
    <n v="31.274999999999999"/>
    <x v="0"/>
    <x v="2"/>
    <n v="7"/>
    <x v="2"/>
    <x v="1"/>
    <x v="0"/>
    <n v="2"/>
  </r>
  <r>
    <n v="121"/>
    <n v="0"/>
    <n v="2"/>
    <s v="Hickman, Mr. Stanley George"/>
    <x v="0"/>
    <n v="21"/>
    <n v="2"/>
    <n v="0"/>
    <s v="S.O.C. 14879"/>
    <n v="73.5"/>
    <x v="0"/>
    <x v="0"/>
    <n v="3"/>
    <x v="0"/>
    <x v="1"/>
    <x v="2"/>
    <n v="1"/>
  </r>
  <r>
    <n v="122"/>
    <n v="0"/>
    <n v="3"/>
    <s v="Moore, Mr. Leonard Charles"/>
    <x v="0"/>
    <n v="26"/>
    <n v="0"/>
    <n v="0"/>
    <s v="A4. 54510"/>
    <n v="8.0500000000000007"/>
    <x v="0"/>
    <x v="0"/>
    <n v="1"/>
    <x v="1"/>
    <x v="0"/>
    <x v="0"/>
    <n v="1"/>
  </r>
  <r>
    <n v="123"/>
    <n v="0"/>
    <n v="2"/>
    <s v="Nasser, Mr. Nicholas"/>
    <x v="0"/>
    <n v="32.5"/>
    <n v="1"/>
    <n v="0"/>
    <s v="237736"/>
    <n v="30.070799999999998"/>
    <x v="0"/>
    <x v="0"/>
    <n v="2"/>
    <x v="0"/>
    <x v="1"/>
    <x v="2"/>
    <n v="1"/>
  </r>
  <r>
    <n v="124"/>
    <n v="1"/>
    <n v="2"/>
    <s v="Webber, Miss. Susan"/>
    <x v="1"/>
    <n v="32.5"/>
    <n v="0"/>
    <n v="0"/>
    <s v="27267"/>
    <n v="13"/>
    <x v="1"/>
    <x v="0"/>
    <n v="1"/>
    <x v="1"/>
    <x v="0"/>
    <x v="2"/>
    <n v="2"/>
  </r>
  <r>
    <n v="125"/>
    <n v="0"/>
    <n v="1"/>
    <s v="White, Mr. Percival Wayland"/>
    <x v="0"/>
    <n v="54"/>
    <n v="0"/>
    <n v="1"/>
    <s v="35281"/>
    <n v="77.287499999999994"/>
    <x v="0"/>
    <x v="1"/>
    <n v="2"/>
    <x v="0"/>
    <x v="1"/>
    <x v="1"/>
    <n v="1"/>
  </r>
  <r>
    <n v="126"/>
    <n v="1"/>
    <n v="3"/>
    <s v="Nicola-Yarred, Master. Elias"/>
    <x v="0"/>
    <n v="12"/>
    <n v="1"/>
    <n v="0"/>
    <s v="2651"/>
    <n v="11.2417"/>
    <x v="1"/>
    <x v="2"/>
    <n v="2"/>
    <x v="0"/>
    <x v="0"/>
    <x v="0"/>
    <n v="1"/>
  </r>
  <r>
    <n v="127"/>
    <n v="0"/>
    <n v="3"/>
    <s v="McMahon, Mr. Martin"/>
    <x v="0"/>
    <n v="26"/>
    <n v="0"/>
    <n v="0"/>
    <s v="370372"/>
    <n v="7.75"/>
    <x v="0"/>
    <x v="0"/>
    <n v="1"/>
    <x v="1"/>
    <x v="0"/>
    <x v="0"/>
    <n v="1"/>
  </r>
  <r>
    <n v="128"/>
    <n v="1"/>
    <n v="3"/>
    <s v="Madsen, Mr. Fridtjof Arne"/>
    <x v="0"/>
    <n v="24"/>
    <n v="0"/>
    <n v="0"/>
    <s v="C 17369"/>
    <n v="7.1417000000000002"/>
    <x v="1"/>
    <x v="0"/>
    <n v="1"/>
    <x v="1"/>
    <x v="0"/>
    <x v="0"/>
    <n v="1"/>
  </r>
  <r>
    <n v="129"/>
    <n v="1"/>
    <n v="3"/>
    <s v="Peter, Miss. Anna"/>
    <x v="1"/>
    <n v="26"/>
    <n v="1"/>
    <n v="1"/>
    <s v="2668"/>
    <n v="22.3583"/>
    <x v="1"/>
    <x v="0"/>
    <n v="3"/>
    <x v="0"/>
    <x v="0"/>
    <x v="0"/>
    <n v="2"/>
  </r>
  <r>
    <n v="130"/>
    <n v="0"/>
    <n v="3"/>
    <s v="Ekstrom, Mr. Johan"/>
    <x v="0"/>
    <n v="45"/>
    <n v="0"/>
    <n v="0"/>
    <s v="347061"/>
    <n v="6.9749999999999996"/>
    <x v="0"/>
    <x v="1"/>
    <n v="1"/>
    <x v="1"/>
    <x v="0"/>
    <x v="0"/>
    <n v="1"/>
  </r>
  <r>
    <n v="131"/>
    <n v="0"/>
    <n v="3"/>
    <s v="Drazenoic, Mr. Jozef"/>
    <x v="0"/>
    <n v="33"/>
    <n v="0"/>
    <n v="0"/>
    <s v="349241"/>
    <n v="7.8958000000000004"/>
    <x v="0"/>
    <x v="0"/>
    <n v="1"/>
    <x v="1"/>
    <x v="0"/>
    <x v="0"/>
    <n v="1"/>
  </r>
  <r>
    <n v="132"/>
    <n v="0"/>
    <n v="3"/>
    <s v="Coelho, Mr. Domingos Fernandeo"/>
    <x v="0"/>
    <n v="20"/>
    <n v="0"/>
    <n v="0"/>
    <s v="SOTON/O.Q. 3101307"/>
    <n v="7.05"/>
    <x v="0"/>
    <x v="0"/>
    <n v="1"/>
    <x v="1"/>
    <x v="0"/>
    <x v="0"/>
    <n v="1"/>
  </r>
  <r>
    <n v="133"/>
    <n v="0"/>
    <n v="3"/>
    <s v="Robins, Mrs. Alexander A (Grace Charity Laury)"/>
    <x v="1"/>
    <n v="47"/>
    <n v="1"/>
    <n v="0"/>
    <s v="A/5. 3337"/>
    <n v="14.5"/>
    <x v="0"/>
    <x v="1"/>
    <n v="2"/>
    <x v="0"/>
    <x v="0"/>
    <x v="0"/>
    <n v="2"/>
  </r>
  <r>
    <n v="134"/>
    <n v="1"/>
    <n v="2"/>
    <s v="Weisz, Mrs. Leopold (Mathilde Francoise Pede)"/>
    <x v="1"/>
    <n v="29"/>
    <n v="1"/>
    <n v="0"/>
    <s v="228414"/>
    <n v="26"/>
    <x v="1"/>
    <x v="0"/>
    <n v="2"/>
    <x v="0"/>
    <x v="1"/>
    <x v="2"/>
    <n v="2"/>
  </r>
  <r>
    <n v="135"/>
    <n v="0"/>
    <n v="2"/>
    <s v="Sobey, Mr. Samuel James Hayden"/>
    <x v="0"/>
    <n v="25"/>
    <n v="0"/>
    <n v="0"/>
    <s v="C.A. 29178"/>
    <n v="13"/>
    <x v="0"/>
    <x v="0"/>
    <n v="1"/>
    <x v="1"/>
    <x v="0"/>
    <x v="2"/>
    <n v="1"/>
  </r>
  <r>
    <n v="136"/>
    <n v="0"/>
    <n v="2"/>
    <s v="Richard, Mr. Emile"/>
    <x v="0"/>
    <n v="23"/>
    <n v="0"/>
    <n v="0"/>
    <s v="SC/PARIS 2133"/>
    <n v="15.0458"/>
    <x v="0"/>
    <x v="0"/>
    <n v="1"/>
    <x v="1"/>
    <x v="0"/>
    <x v="2"/>
    <n v="1"/>
  </r>
  <r>
    <n v="137"/>
    <n v="1"/>
    <n v="1"/>
    <s v="Newsom, Miss. Helen Monypeny"/>
    <x v="1"/>
    <n v="19"/>
    <n v="0"/>
    <n v="2"/>
    <s v="11752"/>
    <n v="26.283300000000001"/>
    <x v="1"/>
    <x v="0"/>
    <n v="3"/>
    <x v="0"/>
    <x v="1"/>
    <x v="1"/>
    <n v="2"/>
  </r>
  <r>
    <n v="138"/>
    <n v="0"/>
    <n v="1"/>
    <s v="Futrelle, Mr. Jacques Heath"/>
    <x v="0"/>
    <n v="37"/>
    <n v="1"/>
    <n v="0"/>
    <s v="113803"/>
    <n v="53.1"/>
    <x v="0"/>
    <x v="1"/>
    <n v="2"/>
    <x v="0"/>
    <x v="1"/>
    <x v="1"/>
    <n v="1"/>
  </r>
  <r>
    <n v="139"/>
    <n v="0"/>
    <n v="3"/>
    <s v="Osen, Mr. Olaf Elon"/>
    <x v="0"/>
    <n v="16"/>
    <n v="0"/>
    <n v="0"/>
    <s v="7534"/>
    <n v="9.2166999999999994"/>
    <x v="0"/>
    <x v="2"/>
    <n v="1"/>
    <x v="1"/>
    <x v="0"/>
    <x v="0"/>
    <n v="1"/>
  </r>
  <r>
    <n v="140"/>
    <n v="0"/>
    <n v="1"/>
    <s v="Giglio, Mr. Victor"/>
    <x v="0"/>
    <n v="24"/>
    <n v="0"/>
    <n v="0"/>
    <s v="PC 17593"/>
    <n v="79.2"/>
    <x v="0"/>
    <x v="0"/>
    <n v="1"/>
    <x v="1"/>
    <x v="1"/>
    <x v="1"/>
    <n v="1"/>
  </r>
  <r>
    <n v="141"/>
    <n v="0"/>
    <n v="3"/>
    <s v="Boulos, Mrs. Joseph (Sultana)"/>
    <x v="1"/>
    <n v="26"/>
    <n v="0"/>
    <n v="2"/>
    <s v="2678"/>
    <n v="15.245799999999999"/>
    <x v="0"/>
    <x v="0"/>
    <n v="3"/>
    <x v="0"/>
    <x v="0"/>
    <x v="0"/>
    <n v="2"/>
  </r>
  <r>
    <n v="142"/>
    <n v="1"/>
    <n v="3"/>
    <s v="Nysten, Miss. Anna Sofia"/>
    <x v="1"/>
    <n v="22"/>
    <n v="0"/>
    <n v="0"/>
    <s v="347081"/>
    <n v="7.75"/>
    <x v="1"/>
    <x v="0"/>
    <n v="1"/>
    <x v="1"/>
    <x v="0"/>
    <x v="0"/>
    <n v="2"/>
  </r>
  <r>
    <n v="143"/>
    <n v="1"/>
    <n v="3"/>
    <s v="Hakkarainen, Mrs. Pekka Pietari (Elin Matilda Dolck)"/>
    <x v="1"/>
    <n v="24"/>
    <n v="1"/>
    <n v="0"/>
    <s v="STON/O2. 3101279"/>
    <n v="15.85"/>
    <x v="1"/>
    <x v="0"/>
    <n v="2"/>
    <x v="0"/>
    <x v="0"/>
    <x v="0"/>
    <n v="2"/>
  </r>
  <r>
    <n v="144"/>
    <n v="0"/>
    <n v="3"/>
    <s v="Burke, Mr. Jeremiah"/>
    <x v="0"/>
    <n v="19"/>
    <n v="0"/>
    <n v="0"/>
    <s v="365222"/>
    <n v="6.75"/>
    <x v="0"/>
    <x v="0"/>
    <n v="1"/>
    <x v="1"/>
    <x v="0"/>
    <x v="0"/>
    <n v="1"/>
  </r>
  <r>
    <n v="145"/>
    <n v="0"/>
    <n v="2"/>
    <s v="Andrew, Mr. Edgardo Samuel"/>
    <x v="0"/>
    <n v="18"/>
    <n v="0"/>
    <n v="0"/>
    <s v="231945"/>
    <n v="11.5"/>
    <x v="0"/>
    <x v="0"/>
    <n v="1"/>
    <x v="1"/>
    <x v="0"/>
    <x v="2"/>
    <n v="1"/>
  </r>
  <r>
    <n v="146"/>
    <n v="0"/>
    <n v="2"/>
    <s v="Nicholls, Mr. Joseph Charles"/>
    <x v="0"/>
    <n v="19"/>
    <n v="1"/>
    <n v="1"/>
    <s v="C.A. 33112"/>
    <n v="36.75"/>
    <x v="0"/>
    <x v="0"/>
    <n v="3"/>
    <x v="0"/>
    <x v="1"/>
    <x v="2"/>
    <n v="1"/>
  </r>
  <r>
    <n v="147"/>
    <n v="1"/>
    <n v="3"/>
    <s v="Andersson, Mr. August Edvard (&quot;Wennerstrom&quot;)"/>
    <x v="0"/>
    <n v="27"/>
    <n v="0"/>
    <n v="0"/>
    <s v="350043"/>
    <n v="7.7957999999999998"/>
    <x v="1"/>
    <x v="0"/>
    <n v="1"/>
    <x v="1"/>
    <x v="0"/>
    <x v="0"/>
    <n v="1"/>
  </r>
  <r>
    <n v="148"/>
    <n v="0"/>
    <n v="3"/>
    <s v="Ford, Miss. Robina Maggie &quot;Ruby&quot;"/>
    <x v="1"/>
    <n v="9"/>
    <n v="2"/>
    <n v="2"/>
    <s v="W./C. 6608"/>
    <n v="34.375"/>
    <x v="0"/>
    <x v="2"/>
    <n v="5"/>
    <x v="2"/>
    <x v="1"/>
    <x v="0"/>
    <n v="2"/>
  </r>
  <r>
    <n v="149"/>
    <n v="0"/>
    <n v="2"/>
    <s v="Navratil, Mr. Michel (&quot;Louis M Hoffman&quot;)"/>
    <x v="0"/>
    <n v="36.5"/>
    <n v="0"/>
    <n v="2"/>
    <s v="230080"/>
    <n v="26"/>
    <x v="0"/>
    <x v="1"/>
    <n v="3"/>
    <x v="0"/>
    <x v="1"/>
    <x v="2"/>
    <n v="1"/>
  </r>
  <r>
    <n v="150"/>
    <n v="0"/>
    <n v="2"/>
    <s v="Byles, Rev. Thomas Roussel Davids"/>
    <x v="0"/>
    <n v="42"/>
    <n v="0"/>
    <n v="0"/>
    <s v="244310"/>
    <n v="13"/>
    <x v="0"/>
    <x v="1"/>
    <n v="1"/>
    <x v="1"/>
    <x v="0"/>
    <x v="2"/>
    <n v="1"/>
  </r>
  <r>
    <n v="151"/>
    <n v="0"/>
    <n v="2"/>
    <s v="Bateman, Rev. Robert James"/>
    <x v="0"/>
    <n v="51"/>
    <n v="0"/>
    <n v="0"/>
    <s v="S.O.P. 1166"/>
    <n v="12.525"/>
    <x v="0"/>
    <x v="1"/>
    <n v="1"/>
    <x v="1"/>
    <x v="0"/>
    <x v="2"/>
    <n v="1"/>
  </r>
  <r>
    <n v="152"/>
    <n v="1"/>
    <n v="1"/>
    <s v="Pears, Mrs. Thomas (Edith Wearne)"/>
    <x v="1"/>
    <n v="22"/>
    <n v="1"/>
    <n v="0"/>
    <s v="113776"/>
    <n v="66.599999999999994"/>
    <x v="1"/>
    <x v="0"/>
    <n v="2"/>
    <x v="0"/>
    <x v="1"/>
    <x v="1"/>
    <n v="2"/>
  </r>
  <r>
    <n v="153"/>
    <n v="0"/>
    <n v="3"/>
    <s v="Meo, Mr. Alfonzo"/>
    <x v="0"/>
    <n v="55.5"/>
    <n v="0"/>
    <n v="0"/>
    <s v="A.5. 11206"/>
    <n v="8.0500000000000007"/>
    <x v="0"/>
    <x v="1"/>
    <n v="1"/>
    <x v="1"/>
    <x v="0"/>
    <x v="0"/>
    <n v="1"/>
  </r>
  <r>
    <n v="154"/>
    <n v="0"/>
    <n v="3"/>
    <s v="van Billiard, Mr. Austin Blyler"/>
    <x v="0"/>
    <n v="40.5"/>
    <n v="0"/>
    <n v="2"/>
    <s v="A/5. 851"/>
    <n v="14.5"/>
    <x v="0"/>
    <x v="1"/>
    <n v="3"/>
    <x v="0"/>
    <x v="0"/>
    <x v="0"/>
    <n v="1"/>
  </r>
  <r>
    <n v="155"/>
    <n v="0"/>
    <n v="3"/>
    <s v="Olsen, Mr. Ole Martin"/>
    <x v="0"/>
    <n v="26"/>
    <n v="0"/>
    <n v="0"/>
    <s v="Fa 265302"/>
    <n v="7.3125"/>
    <x v="0"/>
    <x v="0"/>
    <n v="1"/>
    <x v="1"/>
    <x v="0"/>
    <x v="0"/>
    <n v="1"/>
  </r>
  <r>
    <n v="156"/>
    <n v="0"/>
    <n v="1"/>
    <s v="Williams, Mr. Charles Duane"/>
    <x v="0"/>
    <n v="51"/>
    <n v="0"/>
    <n v="1"/>
    <s v="PC 17597"/>
    <n v="61.379199999999997"/>
    <x v="0"/>
    <x v="1"/>
    <n v="2"/>
    <x v="0"/>
    <x v="1"/>
    <x v="1"/>
    <n v="1"/>
  </r>
  <r>
    <n v="157"/>
    <n v="1"/>
    <n v="3"/>
    <s v="Gilnagh, Miss. Katherine &quot;Katie&quot;"/>
    <x v="1"/>
    <n v="16"/>
    <n v="0"/>
    <n v="0"/>
    <s v="35851"/>
    <n v="7.7332999999999998"/>
    <x v="1"/>
    <x v="2"/>
    <n v="1"/>
    <x v="1"/>
    <x v="0"/>
    <x v="0"/>
    <n v="2"/>
  </r>
  <r>
    <n v="158"/>
    <n v="0"/>
    <n v="3"/>
    <s v="Corn, Mr. Harry"/>
    <x v="0"/>
    <n v="30"/>
    <n v="0"/>
    <n v="0"/>
    <s v="SOTON/OQ 392090"/>
    <n v="8.0500000000000007"/>
    <x v="0"/>
    <x v="0"/>
    <n v="1"/>
    <x v="1"/>
    <x v="0"/>
    <x v="0"/>
    <n v="1"/>
  </r>
  <r>
    <n v="159"/>
    <n v="0"/>
    <n v="3"/>
    <s v="Smiljanic, Mr. Mile"/>
    <x v="0"/>
    <n v="26"/>
    <n v="0"/>
    <n v="0"/>
    <s v="315037"/>
    <n v="8.6624999999999996"/>
    <x v="0"/>
    <x v="0"/>
    <n v="1"/>
    <x v="1"/>
    <x v="0"/>
    <x v="0"/>
    <n v="1"/>
  </r>
  <r>
    <n v="160"/>
    <n v="0"/>
    <n v="3"/>
    <s v="Sage, Master. Thomas Henry"/>
    <x v="0"/>
    <n v="26"/>
    <n v="8"/>
    <n v="2"/>
    <s v="CA. 2343"/>
    <n v="69.55"/>
    <x v="0"/>
    <x v="0"/>
    <n v="11"/>
    <x v="2"/>
    <x v="1"/>
    <x v="0"/>
    <n v="1"/>
  </r>
  <r>
    <n v="161"/>
    <n v="0"/>
    <n v="3"/>
    <s v="Cribb, Mr. John Hatfield"/>
    <x v="0"/>
    <n v="44"/>
    <n v="0"/>
    <n v="1"/>
    <s v="371362"/>
    <n v="16.100000000000001"/>
    <x v="0"/>
    <x v="1"/>
    <n v="2"/>
    <x v="0"/>
    <x v="0"/>
    <x v="0"/>
    <n v="1"/>
  </r>
  <r>
    <n v="162"/>
    <n v="1"/>
    <n v="2"/>
    <s v="Watt, Mrs. James (Elizabeth &quot;Bessie&quot; Inglis Milne)"/>
    <x v="1"/>
    <n v="40"/>
    <n v="0"/>
    <n v="0"/>
    <s v="C.A. 33595"/>
    <n v="15.75"/>
    <x v="1"/>
    <x v="1"/>
    <n v="1"/>
    <x v="1"/>
    <x v="0"/>
    <x v="2"/>
    <n v="2"/>
  </r>
  <r>
    <n v="163"/>
    <n v="0"/>
    <n v="3"/>
    <s v="Bengtsson, Mr. John Viktor"/>
    <x v="0"/>
    <n v="26"/>
    <n v="0"/>
    <n v="0"/>
    <s v="347068"/>
    <n v="7.7750000000000004"/>
    <x v="0"/>
    <x v="0"/>
    <n v="1"/>
    <x v="1"/>
    <x v="0"/>
    <x v="0"/>
    <n v="1"/>
  </r>
  <r>
    <n v="164"/>
    <n v="0"/>
    <n v="3"/>
    <s v="Calic, Mr. Jovo"/>
    <x v="0"/>
    <n v="17"/>
    <n v="0"/>
    <n v="0"/>
    <s v="315093"/>
    <n v="8.6624999999999996"/>
    <x v="0"/>
    <x v="2"/>
    <n v="1"/>
    <x v="1"/>
    <x v="0"/>
    <x v="0"/>
    <n v="1"/>
  </r>
  <r>
    <n v="165"/>
    <n v="0"/>
    <n v="3"/>
    <s v="Panula, Master. Eino Viljami"/>
    <x v="0"/>
    <n v="1"/>
    <n v="4"/>
    <n v="1"/>
    <s v="3101295"/>
    <n v="39.6875"/>
    <x v="0"/>
    <x v="2"/>
    <n v="6"/>
    <x v="2"/>
    <x v="1"/>
    <x v="0"/>
    <n v="1"/>
  </r>
  <r>
    <n v="166"/>
    <n v="1"/>
    <n v="3"/>
    <s v="Goldsmith, Master. Frank John William &quot;Frankie&quot;"/>
    <x v="0"/>
    <n v="9"/>
    <n v="0"/>
    <n v="2"/>
    <s v="363291"/>
    <n v="20.524999999999999"/>
    <x v="1"/>
    <x v="2"/>
    <n v="3"/>
    <x v="0"/>
    <x v="0"/>
    <x v="0"/>
    <n v="1"/>
  </r>
  <r>
    <n v="167"/>
    <n v="1"/>
    <n v="1"/>
    <s v="Chibnall, Mrs. (Edith Martha Bowerman)"/>
    <x v="1"/>
    <n v="26"/>
    <n v="0"/>
    <n v="1"/>
    <s v="113505"/>
    <n v="55"/>
    <x v="1"/>
    <x v="0"/>
    <n v="2"/>
    <x v="0"/>
    <x v="1"/>
    <x v="1"/>
    <n v="2"/>
  </r>
  <r>
    <n v="168"/>
    <n v="0"/>
    <n v="3"/>
    <s v="Skoog, Mrs. William (Anna Bernhardina Karlsson)"/>
    <x v="1"/>
    <n v="45"/>
    <n v="1"/>
    <n v="4"/>
    <s v="347088"/>
    <n v="27.9"/>
    <x v="0"/>
    <x v="1"/>
    <n v="6"/>
    <x v="2"/>
    <x v="1"/>
    <x v="0"/>
    <n v="2"/>
  </r>
  <r>
    <n v="169"/>
    <n v="0"/>
    <n v="1"/>
    <s v="Baumann, Mr. John D"/>
    <x v="0"/>
    <n v="26"/>
    <n v="0"/>
    <n v="0"/>
    <s v="PC 17318"/>
    <n v="25.925000000000001"/>
    <x v="0"/>
    <x v="0"/>
    <n v="1"/>
    <x v="1"/>
    <x v="1"/>
    <x v="1"/>
    <n v="1"/>
  </r>
  <r>
    <n v="170"/>
    <n v="0"/>
    <n v="3"/>
    <s v="Ling, Mr. Lee"/>
    <x v="0"/>
    <n v="28"/>
    <n v="0"/>
    <n v="0"/>
    <s v="1601"/>
    <n v="56.495800000000003"/>
    <x v="0"/>
    <x v="0"/>
    <n v="1"/>
    <x v="1"/>
    <x v="1"/>
    <x v="0"/>
    <n v="1"/>
  </r>
  <r>
    <n v="171"/>
    <n v="0"/>
    <n v="1"/>
    <s v="Van der hoef, Mr. Wyckoff"/>
    <x v="0"/>
    <n v="61"/>
    <n v="0"/>
    <n v="0"/>
    <s v="111240"/>
    <n v="33.5"/>
    <x v="0"/>
    <x v="3"/>
    <n v="1"/>
    <x v="1"/>
    <x v="1"/>
    <x v="1"/>
    <n v="1"/>
  </r>
  <r>
    <n v="172"/>
    <n v="0"/>
    <n v="3"/>
    <s v="Rice, Master. Arthur"/>
    <x v="0"/>
    <n v="4"/>
    <n v="4"/>
    <n v="1"/>
    <s v="382652"/>
    <n v="29.125"/>
    <x v="0"/>
    <x v="2"/>
    <n v="6"/>
    <x v="2"/>
    <x v="1"/>
    <x v="0"/>
    <n v="1"/>
  </r>
  <r>
    <n v="173"/>
    <n v="1"/>
    <n v="3"/>
    <s v="Johnson, Miss. Eleanor Ileen"/>
    <x v="1"/>
    <n v="1"/>
    <n v="1"/>
    <n v="1"/>
    <s v="347742"/>
    <n v="11.1333"/>
    <x v="1"/>
    <x v="2"/>
    <n v="3"/>
    <x v="0"/>
    <x v="0"/>
    <x v="0"/>
    <n v="2"/>
  </r>
  <r>
    <n v="174"/>
    <n v="0"/>
    <n v="3"/>
    <s v="Sivola, Mr. Antti Wilhelm"/>
    <x v="0"/>
    <n v="21"/>
    <n v="0"/>
    <n v="0"/>
    <s v="STON/O 2. 3101280"/>
    <n v="7.9249999999999998"/>
    <x v="0"/>
    <x v="0"/>
    <n v="1"/>
    <x v="1"/>
    <x v="0"/>
    <x v="0"/>
    <n v="1"/>
  </r>
  <r>
    <n v="175"/>
    <n v="0"/>
    <n v="1"/>
    <s v="Smith, Mr. James Clinch"/>
    <x v="0"/>
    <n v="56"/>
    <n v="0"/>
    <n v="0"/>
    <s v="17764"/>
    <n v="30.695799999999998"/>
    <x v="0"/>
    <x v="1"/>
    <n v="1"/>
    <x v="1"/>
    <x v="1"/>
    <x v="1"/>
    <n v="1"/>
  </r>
  <r>
    <n v="176"/>
    <n v="0"/>
    <n v="3"/>
    <s v="Klasen, Mr. Klas Albin"/>
    <x v="0"/>
    <n v="18"/>
    <n v="1"/>
    <n v="1"/>
    <s v="350404"/>
    <n v="7.8541999999999996"/>
    <x v="0"/>
    <x v="0"/>
    <n v="3"/>
    <x v="0"/>
    <x v="0"/>
    <x v="0"/>
    <n v="1"/>
  </r>
  <r>
    <n v="177"/>
    <n v="0"/>
    <n v="3"/>
    <s v="Lefebre, Master. Henry Forbes"/>
    <x v="0"/>
    <n v="26"/>
    <n v="3"/>
    <n v="1"/>
    <s v="4133"/>
    <n v="25.466699999999999"/>
    <x v="0"/>
    <x v="0"/>
    <n v="5"/>
    <x v="2"/>
    <x v="1"/>
    <x v="0"/>
    <n v="1"/>
  </r>
  <r>
    <n v="178"/>
    <n v="0"/>
    <n v="1"/>
    <s v="Isham, Miss. Ann Elizabeth"/>
    <x v="1"/>
    <n v="50"/>
    <n v="0"/>
    <n v="0"/>
    <s v="PC 17595"/>
    <n v="28.712499999999999"/>
    <x v="0"/>
    <x v="1"/>
    <n v="1"/>
    <x v="1"/>
    <x v="1"/>
    <x v="1"/>
    <n v="2"/>
  </r>
  <r>
    <n v="179"/>
    <n v="0"/>
    <n v="2"/>
    <s v="Hale, Mr. Reginald"/>
    <x v="0"/>
    <n v="30"/>
    <n v="0"/>
    <n v="0"/>
    <s v="250653"/>
    <n v="13"/>
    <x v="0"/>
    <x v="0"/>
    <n v="1"/>
    <x v="1"/>
    <x v="0"/>
    <x v="2"/>
    <n v="1"/>
  </r>
  <r>
    <n v="180"/>
    <n v="0"/>
    <n v="3"/>
    <s v="Leonard, Mr. Lionel"/>
    <x v="0"/>
    <n v="36"/>
    <n v="0"/>
    <n v="0"/>
    <s v="LINE"/>
    <n v="0"/>
    <x v="0"/>
    <x v="1"/>
    <n v="1"/>
    <x v="1"/>
    <x v="0"/>
    <x v="0"/>
    <n v="1"/>
  </r>
  <r>
    <n v="181"/>
    <n v="0"/>
    <n v="3"/>
    <s v="Sage, Miss. Constance Gladys"/>
    <x v="1"/>
    <n v="26"/>
    <n v="8"/>
    <n v="2"/>
    <s v="CA. 2343"/>
    <n v="69.55"/>
    <x v="0"/>
    <x v="0"/>
    <n v="11"/>
    <x v="2"/>
    <x v="1"/>
    <x v="0"/>
    <n v="2"/>
  </r>
  <r>
    <n v="182"/>
    <n v="0"/>
    <n v="2"/>
    <s v="Pernot, Mr. Rene"/>
    <x v="0"/>
    <n v="26"/>
    <n v="0"/>
    <n v="0"/>
    <s v="SC/PARIS 2131"/>
    <n v="15.05"/>
    <x v="0"/>
    <x v="0"/>
    <n v="1"/>
    <x v="1"/>
    <x v="0"/>
    <x v="2"/>
    <n v="1"/>
  </r>
  <r>
    <n v="183"/>
    <n v="0"/>
    <n v="3"/>
    <s v="Asplund, Master. Clarence Gustaf Hugo"/>
    <x v="0"/>
    <n v="9"/>
    <n v="4"/>
    <n v="2"/>
    <s v="347077"/>
    <n v="31.387499999999999"/>
    <x v="0"/>
    <x v="2"/>
    <n v="7"/>
    <x v="2"/>
    <x v="1"/>
    <x v="0"/>
    <n v="1"/>
  </r>
  <r>
    <n v="184"/>
    <n v="1"/>
    <n v="2"/>
    <s v="Becker, Master. Richard F"/>
    <x v="0"/>
    <n v="1"/>
    <n v="2"/>
    <n v="1"/>
    <s v="230136"/>
    <n v="39"/>
    <x v="1"/>
    <x v="2"/>
    <n v="4"/>
    <x v="0"/>
    <x v="1"/>
    <x v="2"/>
    <n v="1"/>
  </r>
  <r>
    <n v="185"/>
    <n v="1"/>
    <n v="3"/>
    <s v="Kink-Heilmann, Miss. Luise Gretchen"/>
    <x v="1"/>
    <n v="4"/>
    <n v="0"/>
    <n v="2"/>
    <s v="315153"/>
    <n v="22.024999999999999"/>
    <x v="1"/>
    <x v="2"/>
    <n v="3"/>
    <x v="0"/>
    <x v="0"/>
    <x v="0"/>
    <n v="2"/>
  </r>
  <r>
    <n v="186"/>
    <n v="0"/>
    <n v="1"/>
    <s v="Rood, Mr. Hugh Roscoe"/>
    <x v="0"/>
    <n v="26"/>
    <n v="0"/>
    <n v="0"/>
    <s v="113767"/>
    <n v="50"/>
    <x v="0"/>
    <x v="0"/>
    <n v="1"/>
    <x v="1"/>
    <x v="1"/>
    <x v="1"/>
    <n v="1"/>
  </r>
  <r>
    <n v="187"/>
    <n v="1"/>
    <n v="3"/>
    <s v="O'Brien, Mrs. Thomas (Johanna &quot;Hannah&quot; Godfrey)"/>
    <x v="1"/>
    <n v="26"/>
    <n v="1"/>
    <n v="0"/>
    <s v="370365"/>
    <n v="15.5"/>
    <x v="1"/>
    <x v="0"/>
    <n v="2"/>
    <x v="0"/>
    <x v="0"/>
    <x v="0"/>
    <n v="2"/>
  </r>
  <r>
    <n v="188"/>
    <n v="1"/>
    <n v="1"/>
    <s v="Romaine, Mr. Charles Hallace (&quot;Mr C Rolmane&quot;)"/>
    <x v="0"/>
    <n v="45"/>
    <n v="0"/>
    <n v="0"/>
    <s v="111428"/>
    <n v="26.55"/>
    <x v="1"/>
    <x v="1"/>
    <n v="1"/>
    <x v="1"/>
    <x v="1"/>
    <x v="1"/>
    <n v="1"/>
  </r>
  <r>
    <n v="189"/>
    <n v="0"/>
    <n v="3"/>
    <s v="Bourke, Mr. John"/>
    <x v="0"/>
    <n v="40"/>
    <n v="1"/>
    <n v="1"/>
    <s v="364849"/>
    <n v="15.5"/>
    <x v="0"/>
    <x v="1"/>
    <n v="3"/>
    <x v="0"/>
    <x v="0"/>
    <x v="0"/>
    <n v="1"/>
  </r>
  <r>
    <n v="190"/>
    <n v="0"/>
    <n v="3"/>
    <s v="Turcin, Mr. Stjepan"/>
    <x v="0"/>
    <n v="36"/>
    <n v="0"/>
    <n v="0"/>
    <s v="349247"/>
    <n v="7.8958000000000004"/>
    <x v="0"/>
    <x v="1"/>
    <n v="1"/>
    <x v="1"/>
    <x v="0"/>
    <x v="0"/>
    <n v="1"/>
  </r>
  <r>
    <n v="191"/>
    <n v="1"/>
    <n v="2"/>
    <s v="Pinsky, Mrs. (Rosa)"/>
    <x v="1"/>
    <n v="32"/>
    <n v="0"/>
    <n v="0"/>
    <s v="234604"/>
    <n v="13"/>
    <x v="1"/>
    <x v="0"/>
    <n v="1"/>
    <x v="1"/>
    <x v="0"/>
    <x v="2"/>
    <n v="2"/>
  </r>
  <r>
    <n v="192"/>
    <n v="0"/>
    <n v="2"/>
    <s v="Carbines, Mr. William"/>
    <x v="0"/>
    <n v="19"/>
    <n v="0"/>
    <n v="0"/>
    <s v="28424"/>
    <n v="13"/>
    <x v="0"/>
    <x v="0"/>
    <n v="1"/>
    <x v="1"/>
    <x v="0"/>
    <x v="2"/>
    <n v="1"/>
  </r>
  <r>
    <n v="193"/>
    <n v="1"/>
    <n v="3"/>
    <s v="Andersen-Jensen, Miss. Carla Christine Nielsine"/>
    <x v="1"/>
    <n v="19"/>
    <n v="1"/>
    <n v="0"/>
    <s v="350046"/>
    <n v="7.8541999999999996"/>
    <x v="1"/>
    <x v="0"/>
    <n v="2"/>
    <x v="0"/>
    <x v="0"/>
    <x v="0"/>
    <n v="2"/>
  </r>
  <r>
    <n v="194"/>
    <n v="1"/>
    <n v="2"/>
    <s v="Navratil, Master. Michel M"/>
    <x v="0"/>
    <n v="3"/>
    <n v="1"/>
    <n v="1"/>
    <s v="230080"/>
    <n v="26"/>
    <x v="1"/>
    <x v="2"/>
    <n v="3"/>
    <x v="0"/>
    <x v="1"/>
    <x v="2"/>
    <n v="1"/>
  </r>
  <r>
    <n v="195"/>
    <n v="1"/>
    <n v="1"/>
    <s v="Brown, Mrs. James Joseph (Margaret Tobin)"/>
    <x v="1"/>
    <n v="44"/>
    <n v="0"/>
    <n v="0"/>
    <s v="PC 17610"/>
    <n v="27.720800000000001"/>
    <x v="1"/>
    <x v="1"/>
    <n v="1"/>
    <x v="1"/>
    <x v="1"/>
    <x v="1"/>
    <n v="2"/>
  </r>
  <r>
    <n v="196"/>
    <n v="1"/>
    <n v="1"/>
    <s v="Lurette, Miss. Elise"/>
    <x v="1"/>
    <n v="58"/>
    <n v="0"/>
    <n v="0"/>
    <s v="PC 17569"/>
    <n v="146.52080000000001"/>
    <x v="1"/>
    <x v="1"/>
    <n v="1"/>
    <x v="1"/>
    <x v="2"/>
    <x v="1"/>
    <n v="2"/>
  </r>
  <r>
    <n v="197"/>
    <n v="0"/>
    <n v="3"/>
    <s v="Mernagh, Mr. Robert"/>
    <x v="0"/>
    <n v="26"/>
    <n v="0"/>
    <n v="0"/>
    <s v="368703"/>
    <n v="7.75"/>
    <x v="0"/>
    <x v="0"/>
    <n v="1"/>
    <x v="1"/>
    <x v="0"/>
    <x v="0"/>
    <n v="1"/>
  </r>
  <r>
    <n v="198"/>
    <n v="0"/>
    <n v="3"/>
    <s v="Olsen, Mr. Karl Siegwart Andreas"/>
    <x v="0"/>
    <n v="42"/>
    <n v="0"/>
    <n v="1"/>
    <s v="4579"/>
    <n v="8.4041999999999994"/>
    <x v="0"/>
    <x v="1"/>
    <n v="2"/>
    <x v="0"/>
    <x v="0"/>
    <x v="0"/>
    <n v="1"/>
  </r>
  <r>
    <n v="199"/>
    <n v="1"/>
    <n v="3"/>
    <s v="Madigan, Miss. Margaret &quot;Maggie&quot;"/>
    <x v="1"/>
    <n v="26"/>
    <n v="0"/>
    <n v="0"/>
    <s v="370370"/>
    <n v="7.75"/>
    <x v="1"/>
    <x v="0"/>
    <n v="1"/>
    <x v="1"/>
    <x v="0"/>
    <x v="0"/>
    <n v="2"/>
  </r>
  <r>
    <n v="200"/>
    <n v="0"/>
    <n v="2"/>
    <s v="Yrois, Miss. Henriette (&quot;Mrs Harbeck&quot;)"/>
    <x v="1"/>
    <n v="24"/>
    <n v="0"/>
    <n v="0"/>
    <s v="248747"/>
    <n v="13"/>
    <x v="0"/>
    <x v="0"/>
    <n v="1"/>
    <x v="1"/>
    <x v="0"/>
    <x v="2"/>
    <n v="2"/>
  </r>
  <r>
    <n v="201"/>
    <n v="0"/>
    <n v="3"/>
    <s v="Vande Walle, Mr. Nestor Cyriel"/>
    <x v="0"/>
    <n v="28"/>
    <n v="0"/>
    <n v="0"/>
    <s v="345770"/>
    <n v="9.5"/>
    <x v="0"/>
    <x v="0"/>
    <n v="1"/>
    <x v="1"/>
    <x v="0"/>
    <x v="0"/>
    <n v="1"/>
  </r>
  <r>
    <n v="202"/>
    <n v="0"/>
    <n v="3"/>
    <s v="Sage, Mr. Frederick"/>
    <x v="0"/>
    <n v="26"/>
    <n v="8"/>
    <n v="2"/>
    <s v="CA. 2343"/>
    <n v="69.55"/>
    <x v="0"/>
    <x v="0"/>
    <n v="11"/>
    <x v="2"/>
    <x v="1"/>
    <x v="0"/>
    <n v="1"/>
  </r>
  <r>
    <n v="203"/>
    <n v="0"/>
    <n v="3"/>
    <s v="Johanson, Mr. Jakob Alfred"/>
    <x v="0"/>
    <n v="34"/>
    <n v="0"/>
    <n v="0"/>
    <s v="3101264"/>
    <n v="6.4958"/>
    <x v="0"/>
    <x v="0"/>
    <n v="1"/>
    <x v="1"/>
    <x v="0"/>
    <x v="0"/>
    <n v="1"/>
  </r>
  <r>
    <n v="204"/>
    <n v="0"/>
    <n v="3"/>
    <s v="Youseff, Mr. Gerious"/>
    <x v="0"/>
    <n v="45.5"/>
    <n v="0"/>
    <n v="0"/>
    <s v="2628"/>
    <n v="7.2249999999999996"/>
    <x v="0"/>
    <x v="1"/>
    <n v="1"/>
    <x v="1"/>
    <x v="0"/>
    <x v="0"/>
    <n v="1"/>
  </r>
  <r>
    <n v="205"/>
    <n v="1"/>
    <n v="3"/>
    <s v="Cohen, Mr. Gurshon &quot;Gus&quot;"/>
    <x v="0"/>
    <n v="18"/>
    <n v="0"/>
    <n v="0"/>
    <s v="A/5 3540"/>
    <n v="8.0500000000000007"/>
    <x v="1"/>
    <x v="0"/>
    <n v="1"/>
    <x v="1"/>
    <x v="0"/>
    <x v="0"/>
    <n v="1"/>
  </r>
  <r>
    <n v="206"/>
    <n v="0"/>
    <n v="3"/>
    <s v="Strom, Miss. Telma Matilda"/>
    <x v="1"/>
    <n v="2"/>
    <n v="0"/>
    <n v="1"/>
    <s v="347054"/>
    <n v="10.4625"/>
    <x v="0"/>
    <x v="2"/>
    <n v="2"/>
    <x v="0"/>
    <x v="0"/>
    <x v="0"/>
    <n v="2"/>
  </r>
  <r>
    <n v="207"/>
    <n v="0"/>
    <n v="3"/>
    <s v="Backstrom, Mr. Karl Alfred"/>
    <x v="0"/>
    <n v="32"/>
    <n v="1"/>
    <n v="0"/>
    <s v="3101278"/>
    <n v="15.85"/>
    <x v="0"/>
    <x v="0"/>
    <n v="2"/>
    <x v="0"/>
    <x v="0"/>
    <x v="0"/>
    <n v="1"/>
  </r>
  <r>
    <n v="208"/>
    <n v="1"/>
    <n v="3"/>
    <s v="Albimona, Mr. Nassef Cassem"/>
    <x v="0"/>
    <n v="26"/>
    <n v="0"/>
    <n v="0"/>
    <s v="2699"/>
    <n v="18.787500000000001"/>
    <x v="1"/>
    <x v="0"/>
    <n v="1"/>
    <x v="1"/>
    <x v="0"/>
    <x v="0"/>
    <n v="1"/>
  </r>
  <r>
    <n v="209"/>
    <n v="1"/>
    <n v="3"/>
    <s v="Carr, Miss. Helen &quot;Ellen&quot;"/>
    <x v="1"/>
    <n v="16"/>
    <n v="0"/>
    <n v="0"/>
    <s v="367231"/>
    <n v="7.75"/>
    <x v="1"/>
    <x v="2"/>
    <n v="1"/>
    <x v="1"/>
    <x v="0"/>
    <x v="0"/>
    <n v="2"/>
  </r>
  <r>
    <n v="210"/>
    <n v="1"/>
    <n v="1"/>
    <s v="Blank, Mr. Henry"/>
    <x v="0"/>
    <n v="40"/>
    <n v="0"/>
    <n v="0"/>
    <s v="112277"/>
    <n v="31"/>
    <x v="1"/>
    <x v="1"/>
    <n v="1"/>
    <x v="1"/>
    <x v="1"/>
    <x v="1"/>
    <n v="1"/>
  </r>
  <r>
    <n v="211"/>
    <n v="0"/>
    <n v="3"/>
    <s v="Ali, Mr. Ahmed"/>
    <x v="0"/>
    <n v="24"/>
    <n v="0"/>
    <n v="0"/>
    <s v="SOTON/O.Q. 3101311"/>
    <n v="7.05"/>
    <x v="0"/>
    <x v="0"/>
    <n v="1"/>
    <x v="1"/>
    <x v="0"/>
    <x v="0"/>
    <n v="1"/>
  </r>
  <r>
    <n v="212"/>
    <n v="1"/>
    <n v="2"/>
    <s v="Cameron, Miss. Clear Annie"/>
    <x v="1"/>
    <n v="35"/>
    <n v="0"/>
    <n v="0"/>
    <s v="F.C.C. 13528"/>
    <n v="21"/>
    <x v="1"/>
    <x v="1"/>
    <n v="1"/>
    <x v="1"/>
    <x v="0"/>
    <x v="2"/>
    <n v="2"/>
  </r>
  <r>
    <n v="213"/>
    <n v="0"/>
    <n v="3"/>
    <s v="Perkin, Mr. John Henry"/>
    <x v="0"/>
    <n v="22"/>
    <n v="0"/>
    <n v="0"/>
    <s v="A/5 21174"/>
    <n v="7.25"/>
    <x v="0"/>
    <x v="0"/>
    <n v="1"/>
    <x v="1"/>
    <x v="0"/>
    <x v="0"/>
    <n v="1"/>
  </r>
  <r>
    <n v="214"/>
    <n v="0"/>
    <n v="2"/>
    <s v="Givard, Mr. Hans Kristensen"/>
    <x v="0"/>
    <n v="30"/>
    <n v="0"/>
    <n v="0"/>
    <s v="250646"/>
    <n v="13"/>
    <x v="0"/>
    <x v="0"/>
    <n v="1"/>
    <x v="1"/>
    <x v="0"/>
    <x v="2"/>
    <n v="1"/>
  </r>
  <r>
    <n v="215"/>
    <n v="0"/>
    <n v="3"/>
    <s v="Kiernan, Mr. Philip"/>
    <x v="0"/>
    <n v="26"/>
    <n v="1"/>
    <n v="0"/>
    <s v="367229"/>
    <n v="7.75"/>
    <x v="0"/>
    <x v="0"/>
    <n v="2"/>
    <x v="0"/>
    <x v="0"/>
    <x v="0"/>
    <n v="1"/>
  </r>
  <r>
    <n v="216"/>
    <n v="1"/>
    <n v="1"/>
    <s v="Newell, Miss. Madeleine"/>
    <x v="1"/>
    <n v="31"/>
    <n v="1"/>
    <n v="0"/>
    <s v="35273"/>
    <n v="113.27500000000001"/>
    <x v="1"/>
    <x v="0"/>
    <n v="2"/>
    <x v="0"/>
    <x v="2"/>
    <x v="1"/>
    <n v="2"/>
  </r>
  <r>
    <n v="217"/>
    <n v="1"/>
    <n v="3"/>
    <s v="Honkanen, Miss. Eliina"/>
    <x v="1"/>
    <n v="27"/>
    <n v="0"/>
    <n v="0"/>
    <s v="STON/O2. 3101283"/>
    <n v="7.9249999999999998"/>
    <x v="1"/>
    <x v="0"/>
    <n v="1"/>
    <x v="1"/>
    <x v="0"/>
    <x v="0"/>
    <n v="2"/>
  </r>
  <r>
    <n v="218"/>
    <n v="0"/>
    <n v="2"/>
    <s v="Jacobsohn, Mr. Sidney Samuel"/>
    <x v="0"/>
    <n v="42"/>
    <n v="1"/>
    <n v="0"/>
    <s v="243847"/>
    <n v="27"/>
    <x v="0"/>
    <x v="1"/>
    <n v="2"/>
    <x v="0"/>
    <x v="1"/>
    <x v="2"/>
    <n v="1"/>
  </r>
  <r>
    <n v="219"/>
    <n v="1"/>
    <n v="1"/>
    <s v="Bazzani, Miss. Albina"/>
    <x v="1"/>
    <n v="32"/>
    <n v="0"/>
    <n v="0"/>
    <s v="11813"/>
    <n v="76.291700000000006"/>
    <x v="1"/>
    <x v="0"/>
    <n v="1"/>
    <x v="1"/>
    <x v="1"/>
    <x v="1"/>
    <n v="2"/>
  </r>
  <r>
    <n v="220"/>
    <n v="0"/>
    <n v="2"/>
    <s v="Harris, Mr. Walter"/>
    <x v="0"/>
    <n v="30"/>
    <n v="0"/>
    <n v="0"/>
    <s v="W/C 14208"/>
    <n v="10.5"/>
    <x v="0"/>
    <x v="0"/>
    <n v="1"/>
    <x v="1"/>
    <x v="0"/>
    <x v="2"/>
    <n v="1"/>
  </r>
  <r>
    <n v="221"/>
    <n v="1"/>
    <n v="3"/>
    <s v="Sunderland, Mr. Victor Francis"/>
    <x v="0"/>
    <n v="16"/>
    <n v="0"/>
    <n v="0"/>
    <s v="SOTON/OQ 392089"/>
    <n v="8.0500000000000007"/>
    <x v="1"/>
    <x v="2"/>
    <n v="1"/>
    <x v="1"/>
    <x v="0"/>
    <x v="0"/>
    <n v="1"/>
  </r>
  <r>
    <n v="222"/>
    <n v="0"/>
    <n v="2"/>
    <s v="Bracken, Mr. James H"/>
    <x v="0"/>
    <n v="27"/>
    <n v="0"/>
    <n v="0"/>
    <s v="220367"/>
    <n v="13"/>
    <x v="0"/>
    <x v="0"/>
    <n v="1"/>
    <x v="1"/>
    <x v="0"/>
    <x v="2"/>
    <n v="1"/>
  </r>
  <r>
    <n v="223"/>
    <n v="0"/>
    <n v="3"/>
    <s v="Green, Mr. George Henry"/>
    <x v="0"/>
    <n v="51"/>
    <n v="0"/>
    <n v="0"/>
    <s v="21440"/>
    <n v="8.0500000000000007"/>
    <x v="0"/>
    <x v="1"/>
    <n v="1"/>
    <x v="1"/>
    <x v="0"/>
    <x v="0"/>
    <n v="1"/>
  </r>
  <r>
    <n v="224"/>
    <n v="0"/>
    <n v="3"/>
    <s v="Nenkoff, Mr. Christo"/>
    <x v="0"/>
    <n v="26"/>
    <n v="0"/>
    <n v="0"/>
    <s v="349234"/>
    <n v="7.8958000000000004"/>
    <x v="0"/>
    <x v="0"/>
    <n v="1"/>
    <x v="1"/>
    <x v="0"/>
    <x v="0"/>
    <n v="1"/>
  </r>
  <r>
    <n v="225"/>
    <n v="1"/>
    <n v="1"/>
    <s v="Hoyt, Mr. Frederick Maxfield"/>
    <x v="0"/>
    <n v="38"/>
    <n v="1"/>
    <n v="0"/>
    <s v="19943"/>
    <n v="90"/>
    <x v="1"/>
    <x v="1"/>
    <n v="2"/>
    <x v="0"/>
    <x v="1"/>
    <x v="1"/>
    <n v="1"/>
  </r>
  <r>
    <n v="226"/>
    <n v="0"/>
    <n v="3"/>
    <s v="Berglund, Mr. Karl Ivar Sven"/>
    <x v="0"/>
    <n v="22"/>
    <n v="0"/>
    <n v="0"/>
    <s v="PP 4348"/>
    <n v="9.35"/>
    <x v="0"/>
    <x v="0"/>
    <n v="1"/>
    <x v="1"/>
    <x v="0"/>
    <x v="0"/>
    <n v="1"/>
  </r>
  <r>
    <n v="227"/>
    <n v="1"/>
    <n v="2"/>
    <s v="Mellors, Mr. William John"/>
    <x v="0"/>
    <n v="19"/>
    <n v="0"/>
    <n v="0"/>
    <s v="SW/PP 751"/>
    <n v="10.5"/>
    <x v="1"/>
    <x v="0"/>
    <n v="1"/>
    <x v="1"/>
    <x v="0"/>
    <x v="2"/>
    <n v="1"/>
  </r>
  <r>
    <n v="228"/>
    <n v="0"/>
    <n v="3"/>
    <s v="Lovell, Mr. John Hall (&quot;Henry&quot;)"/>
    <x v="0"/>
    <n v="20.5"/>
    <n v="0"/>
    <n v="0"/>
    <s v="A/5 21173"/>
    <n v="7.25"/>
    <x v="0"/>
    <x v="0"/>
    <n v="1"/>
    <x v="1"/>
    <x v="0"/>
    <x v="0"/>
    <n v="1"/>
  </r>
  <r>
    <n v="229"/>
    <n v="0"/>
    <n v="2"/>
    <s v="Fahlstrom, Mr. Arne Jonas"/>
    <x v="0"/>
    <n v="18"/>
    <n v="0"/>
    <n v="0"/>
    <s v="236171"/>
    <n v="13"/>
    <x v="0"/>
    <x v="0"/>
    <n v="1"/>
    <x v="1"/>
    <x v="0"/>
    <x v="2"/>
    <n v="1"/>
  </r>
  <r>
    <n v="230"/>
    <n v="0"/>
    <n v="3"/>
    <s v="Lefebre, Miss. Mathilde"/>
    <x v="1"/>
    <n v="26"/>
    <n v="3"/>
    <n v="1"/>
    <s v="4133"/>
    <n v="25.466699999999999"/>
    <x v="0"/>
    <x v="0"/>
    <n v="5"/>
    <x v="2"/>
    <x v="1"/>
    <x v="0"/>
    <n v="2"/>
  </r>
  <r>
    <n v="231"/>
    <n v="1"/>
    <n v="1"/>
    <s v="Harris, Mrs. Henry Birkhardt (Irene Wallach)"/>
    <x v="1"/>
    <n v="35"/>
    <n v="1"/>
    <n v="0"/>
    <s v="36973"/>
    <n v="83.474999999999994"/>
    <x v="1"/>
    <x v="1"/>
    <n v="2"/>
    <x v="0"/>
    <x v="1"/>
    <x v="1"/>
    <n v="2"/>
  </r>
  <r>
    <n v="232"/>
    <n v="0"/>
    <n v="3"/>
    <s v="Larsson, Mr. Bengt Edvin"/>
    <x v="0"/>
    <n v="29"/>
    <n v="0"/>
    <n v="0"/>
    <s v="347067"/>
    <n v="7.7750000000000004"/>
    <x v="0"/>
    <x v="0"/>
    <n v="1"/>
    <x v="1"/>
    <x v="0"/>
    <x v="0"/>
    <n v="1"/>
  </r>
  <r>
    <n v="233"/>
    <n v="0"/>
    <n v="2"/>
    <s v="Sjostedt, Mr. Ernst Adolf"/>
    <x v="0"/>
    <n v="59"/>
    <n v="0"/>
    <n v="0"/>
    <s v="237442"/>
    <n v="13.5"/>
    <x v="0"/>
    <x v="1"/>
    <n v="1"/>
    <x v="1"/>
    <x v="0"/>
    <x v="2"/>
    <n v="1"/>
  </r>
  <r>
    <n v="234"/>
    <n v="1"/>
    <n v="3"/>
    <s v="Asplund, Miss. Lillian Gertrud"/>
    <x v="1"/>
    <n v="5"/>
    <n v="4"/>
    <n v="2"/>
    <s v="347077"/>
    <n v="31.387499999999999"/>
    <x v="1"/>
    <x v="2"/>
    <n v="7"/>
    <x v="2"/>
    <x v="1"/>
    <x v="0"/>
    <n v="2"/>
  </r>
  <r>
    <n v="235"/>
    <n v="0"/>
    <n v="2"/>
    <s v="Leyson, Mr. Robert William Norman"/>
    <x v="0"/>
    <n v="24"/>
    <n v="0"/>
    <n v="0"/>
    <s v="C.A. 29566"/>
    <n v="10.5"/>
    <x v="0"/>
    <x v="0"/>
    <n v="1"/>
    <x v="1"/>
    <x v="0"/>
    <x v="2"/>
    <n v="1"/>
  </r>
  <r>
    <n v="236"/>
    <n v="0"/>
    <n v="3"/>
    <s v="Harknett, Miss. Alice Phoebe"/>
    <x v="1"/>
    <n v="26"/>
    <n v="0"/>
    <n v="0"/>
    <s v="W./C. 6609"/>
    <n v="7.55"/>
    <x v="0"/>
    <x v="0"/>
    <n v="1"/>
    <x v="1"/>
    <x v="0"/>
    <x v="0"/>
    <n v="2"/>
  </r>
  <r>
    <n v="237"/>
    <n v="0"/>
    <n v="2"/>
    <s v="Hold, Mr. Stephen"/>
    <x v="0"/>
    <n v="44"/>
    <n v="1"/>
    <n v="0"/>
    <s v="26707"/>
    <n v="26"/>
    <x v="0"/>
    <x v="1"/>
    <n v="2"/>
    <x v="0"/>
    <x v="1"/>
    <x v="2"/>
    <n v="1"/>
  </r>
  <r>
    <n v="238"/>
    <n v="1"/>
    <n v="2"/>
    <s v="Collyer, Miss. Marjorie &quot;Lottie&quot;"/>
    <x v="1"/>
    <n v="8"/>
    <n v="0"/>
    <n v="2"/>
    <s v="C.A. 31921"/>
    <n v="26.25"/>
    <x v="1"/>
    <x v="2"/>
    <n v="3"/>
    <x v="0"/>
    <x v="1"/>
    <x v="2"/>
    <n v="2"/>
  </r>
  <r>
    <n v="239"/>
    <n v="0"/>
    <n v="2"/>
    <s v="Pengelly, Mr. Frederick William"/>
    <x v="0"/>
    <n v="19"/>
    <n v="0"/>
    <n v="0"/>
    <s v="28665"/>
    <n v="10.5"/>
    <x v="0"/>
    <x v="0"/>
    <n v="1"/>
    <x v="1"/>
    <x v="0"/>
    <x v="2"/>
    <n v="1"/>
  </r>
  <r>
    <n v="240"/>
    <n v="0"/>
    <n v="2"/>
    <s v="Hunt, Mr. George Henry"/>
    <x v="0"/>
    <n v="33"/>
    <n v="0"/>
    <n v="0"/>
    <s v="SCO/W 1585"/>
    <n v="12.275"/>
    <x v="0"/>
    <x v="0"/>
    <n v="1"/>
    <x v="1"/>
    <x v="0"/>
    <x v="2"/>
    <n v="1"/>
  </r>
  <r>
    <n v="241"/>
    <n v="0"/>
    <n v="3"/>
    <s v="Zabour, Miss. Thamine"/>
    <x v="1"/>
    <n v="26"/>
    <n v="1"/>
    <n v="0"/>
    <s v="2665"/>
    <n v="14.4542"/>
    <x v="0"/>
    <x v="0"/>
    <n v="2"/>
    <x v="0"/>
    <x v="0"/>
    <x v="0"/>
    <n v="2"/>
  </r>
  <r>
    <n v="242"/>
    <n v="1"/>
    <n v="3"/>
    <s v="Murphy, Miss. Katherine &quot;Kate&quot;"/>
    <x v="1"/>
    <n v="26"/>
    <n v="1"/>
    <n v="0"/>
    <s v="367230"/>
    <n v="15.5"/>
    <x v="1"/>
    <x v="0"/>
    <n v="2"/>
    <x v="0"/>
    <x v="0"/>
    <x v="0"/>
    <n v="2"/>
  </r>
  <r>
    <n v="243"/>
    <n v="0"/>
    <n v="2"/>
    <s v="Coleridge, Mr. Reginald Charles"/>
    <x v="0"/>
    <n v="29"/>
    <n v="0"/>
    <n v="0"/>
    <s v="W./C. 14263"/>
    <n v="10.5"/>
    <x v="0"/>
    <x v="0"/>
    <n v="1"/>
    <x v="1"/>
    <x v="0"/>
    <x v="2"/>
    <n v="1"/>
  </r>
  <r>
    <n v="244"/>
    <n v="0"/>
    <n v="3"/>
    <s v="Maenpaa, Mr. Matti Alexanteri"/>
    <x v="0"/>
    <n v="22"/>
    <n v="0"/>
    <n v="0"/>
    <s v="STON/O 2. 3101275"/>
    <n v="7.125"/>
    <x v="0"/>
    <x v="0"/>
    <n v="1"/>
    <x v="1"/>
    <x v="0"/>
    <x v="0"/>
    <n v="1"/>
  </r>
  <r>
    <n v="245"/>
    <n v="0"/>
    <n v="3"/>
    <s v="Attalah, Mr. Sleiman"/>
    <x v="0"/>
    <n v="30"/>
    <n v="0"/>
    <n v="0"/>
    <s v="2694"/>
    <n v="7.2249999999999996"/>
    <x v="0"/>
    <x v="0"/>
    <n v="1"/>
    <x v="1"/>
    <x v="0"/>
    <x v="0"/>
    <n v="1"/>
  </r>
  <r>
    <n v="246"/>
    <n v="0"/>
    <n v="1"/>
    <s v="Minahan, Dr. William Edward"/>
    <x v="0"/>
    <n v="44"/>
    <n v="2"/>
    <n v="0"/>
    <s v="19928"/>
    <n v="90"/>
    <x v="0"/>
    <x v="1"/>
    <n v="3"/>
    <x v="0"/>
    <x v="1"/>
    <x v="1"/>
    <n v="1"/>
  </r>
  <r>
    <n v="247"/>
    <n v="0"/>
    <n v="3"/>
    <s v="Lindahl, Miss. Agda Thorilda Viktoria"/>
    <x v="1"/>
    <n v="25"/>
    <n v="0"/>
    <n v="0"/>
    <s v="347071"/>
    <n v="7.7750000000000004"/>
    <x v="0"/>
    <x v="0"/>
    <n v="1"/>
    <x v="1"/>
    <x v="0"/>
    <x v="0"/>
    <n v="2"/>
  </r>
  <r>
    <n v="248"/>
    <n v="1"/>
    <n v="2"/>
    <s v="Hamalainen, Mrs. William (Anna)"/>
    <x v="1"/>
    <n v="24"/>
    <n v="0"/>
    <n v="2"/>
    <s v="250649"/>
    <n v="14.5"/>
    <x v="1"/>
    <x v="0"/>
    <n v="3"/>
    <x v="0"/>
    <x v="0"/>
    <x v="2"/>
    <n v="2"/>
  </r>
  <r>
    <n v="249"/>
    <n v="1"/>
    <n v="1"/>
    <s v="Beckwith, Mr. Richard Leonard"/>
    <x v="0"/>
    <n v="37"/>
    <n v="1"/>
    <n v="1"/>
    <s v="11751"/>
    <n v="52.554200000000002"/>
    <x v="1"/>
    <x v="1"/>
    <n v="3"/>
    <x v="0"/>
    <x v="1"/>
    <x v="1"/>
    <n v="1"/>
  </r>
  <r>
    <n v="250"/>
    <n v="0"/>
    <n v="2"/>
    <s v="Carter, Rev. Ernest Courtenay"/>
    <x v="0"/>
    <n v="54"/>
    <n v="1"/>
    <n v="0"/>
    <s v="244252"/>
    <n v="26"/>
    <x v="0"/>
    <x v="1"/>
    <n v="2"/>
    <x v="0"/>
    <x v="1"/>
    <x v="2"/>
    <n v="1"/>
  </r>
  <r>
    <n v="251"/>
    <n v="0"/>
    <n v="3"/>
    <s v="Reed, Mr. James George"/>
    <x v="0"/>
    <n v="26"/>
    <n v="0"/>
    <n v="0"/>
    <s v="362316"/>
    <n v="7.25"/>
    <x v="0"/>
    <x v="0"/>
    <n v="1"/>
    <x v="1"/>
    <x v="0"/>
    <x v="0"/>
    <n v="1"/>
  </r>
  <r>
    <n v="252"/>
    <n v="0"/>
    <n v="3"/>
    <s v="Strom, Mrs. Wilhelm (Elna Matilda Persson)"/>
    <x v="1"/>
    <n v="29"/>
    <n v="1"/>
    <n v="1"/>
    <s v="347054"/>
    <n v="10.4625"/>
    <x v="0"/>
    <x v="0"/>
    <n v="3"/>
    <x v="0"/>
    <x v="0"/>
    <x v="0"/>
    <n v="2"/>
  </r>
  <r>
    <n v="253"/>
    <n v="0"/>
    <n v="1"/>
    <s v="Stead, Mr. William Thomas"/>
    <x v="0"/>
    <n v="62"/>
    <n v="0"/>
    <n v="0"/>
    <s v="113514"/>
    <n v="26.55"/>
    <x v="0"/>
    <x v="3"/>
    <n v="1"/>
    <x v="1"/>
    <x v="1"/>
    <x v="1"/>
    <n v="1"/>
  </r>
  <r>
    <n v="254"/>
    <n v="0"/>
    <n v="3"/>
    <s v="Lobb, Mr. William Arthur"/>
    <x v="0"/>
    <n v="30"/>
    <n v="1"/>
    <n v="0"/>
    <s v="A/5. 3336"/>
    <n v="16.100000000000001"/>
    <x v="0"/>
    <x v="0"/>
    <n v="2"/>
    <x v="0"/>
    <x v="0"/>
    <x v="0"/>
    <n v="1"/>
  </r>
  <r>
    <n v="255"/>
    <n v="0"/>
    <n v="3"/>
    <s v="Rosblom, Mrs. Viktor (Helena Wilhelmina)"/>
    <x v="1"/>
    <n v="41"/>
    <n v="0"/>
    <n v="2"/>
    <s v="370129"/>
    <n v="20.212499999999999"/>
    <x v="0"/>
    <x v="1"/>
    <n v="3"/>
    <x v="0"/>
    <x v="0"/>
    <x v="0"/>
    <n v="2"/>
  </r>
  <r>
    <n v="256"/>
    <n v="1"/>
    <n v="3"/>
    <s v="Touma, Mrs. Darwis (Hanne Youssef Razi)"/>
    <x v="1"/>
    <n v="29"/>
    <n v="0"/>
    <n v="2"/>
    <s v="2650"/>
    <n v="15.245799999999999"/>
    <x v="1"/>
    <x v="0"/>
    <n v="3"/>
    <x v="0"/>
    <x v="0"/>
    <x v="0"/>
    <n v="2"/>
  </r>
  <r>
    <n v="257"/>
    <n v="1"/>
    <n v="1"/>
    <s v="Thorne, Mrs. Gertrude Maybelle"/>
    <x v="1"/>
    <n v="26"/>
    <n v="0"/>
    <n v="0"/>
    <s v="PC 17585"/>
    <n v="79.2"/>
    <x v="1"/>
    <x v="0"/>
    <n v="1"/>
    <x v="1"/>
    <x v="1"/>
    <x v="1"/>
    <n v="2"/>
  </r>
  <r>
    <n v="258"/>
    <n v="1"/>
    <n v="1"/>
    <s v="Cherry, Miss. Gladys"/>
    <x v="1"/>
    <n v="30"/>
    <n v="0"/>
    <n v="0"/>
    <s v="110152"/>
    <n v="86.5"/>
    <x v="1"/>
    <x v="0"/>
    <n v="1"/>
    <x v="1"/>
    <x v="1"/>
    <x v="1"/>
    <n v="2"/>
  </r>
  <r>
    <n v="259"/>
    <n v="1"/>
    <n v="1"/>
    <s v="Ward, Miss. Anna"/>
    <x v="1"/>
    <n v="35"/>
    <n v="0"/>
    <n v="0"/>
    <s v="PC 17755"/>
    <n v="512.32920000000001"/>
    <x v="1"/>
    <x v="1"/>
    <n v="1"/>
    <x v="1"/>
    <x v="2"/>
    <x v="1"/>
    <n v="2"/>
  </r>
  <r>
    <n v="260"/>
    <n v="1"/>
    <n v="2"/>
    <s v="Parrish, Mrs. (Lutie Davis)"/>
    <x v="1"/>
    <n v="50"/>
    <n v="0"/>
    <n v="1"/>
    <s v="230433"/>
    <n v="26"/>
    <x v="1"/>
    <x v="1"/>
    <n v="2"/>
    <x v="0"/>
    <x v="1"/>
    <x v="2"/>
    <n v="2"/>
  </r>
  <r>
    <n v="261"/>
    <n v="0"/>
    <n v="3"/>
    <s v="Smith, Mr. Thomas"/>
    <x v="0"/>
    <n v="26"/>
    <n v="0"/>
    <n v="0"/>
    <s v="384461"/>
    <n v="7.75"/>
    <x v="0"/>
    <x v="0"/>
    <n v="1"/>
    <x v="1"/>
    <x v="0"/>
    <x v="0"/>
    <n v="1"/>
  </r>
  <r>
    <n v="262"/>
    <n v="1"/>
    <n v="3"/>
    <s v="Asplund, Master. Edvin Rojj Felix"/>
    <x v="0"/>
    <n v="3"/>
    <n v="4"/>
    <n v="2"/>
    <s v="347077"/>
    <n v="31.387499999999999"/>
    <x v="1"/>
    <x v="2"/>
    <n v="7"/>
    <x v="2"/>
    <x v="1"/>
    <x v="0"/>
    <n v="1"/>
  </r>
  <r>
    <n v="263"/>
    <n v="0"/>
    <n v="1"/>
    <s v="Taussig, Mr. Emil"/>
    <x v="0"/>
    <n v="52"/>
    <n v="1"/>
    <n v="1"/>
    <s v="110413"/>
    <n v="79.650000000000006"/>
    <x v="0"/>
    <x v="1"/>
    <n v="3"/>
    <x v="0"/>
    <x v="1"/>
    <x v="1"/>
    <n v="1"/>
  </r>
  <r>
    <n v="264"/>
    <n v="0"/>
    <n v="1"/>
    <s v="Harrison, Mr. William"/>
    <x v="0"/>
    <n v="40"/>
    <n v="0"/>
    <n v="0"/>
    <s v="112059"/>
    <n v="0"/>
    <x v="0"/>
    <x v="1"/>
    <n v="1"/>
    <x v="1"/>
    <x v="0"/>
    <x v="1"/>
    <n v="1"/>
  </r>
  <r>
    <n v="265"/>
    <n v="0"/>
    <n v="3"/>
    <s v="Henry, Miss. Delia"/>
    <x v="1"/>
    <n v="26"/>
    <n v="0"/>
    <n v="0"/>
    <s v="382649"/>
    <n v="7.75"/>
    <x v="0"/>
    <x v="0"/>
    <n v="1"/>
    <x v="1"/>
    <x v="0"/>
    <x v="0"/>
    <n v="2"/>
  </r>
  <r>
    <n v="266"/>
    <n v="0"/>
    <n v="2"/>
    <s v="Reeves, Mr. David"/>
    <x v="0"/>
    <n v="36"/>
    <n v="0"/>
    <n v="0"/>
    <s v="C.A. 17248"/>
    <n v="10.5"/>
    <x v="0"/>
    <x v="1"/>
    <n v="1"/>
    <x v="1"/>
    <x v="0"/>
    <x v="2"/>
    <n v="1"/>
  </r>
  <r>
    <n v="267"/>
    <n v="0"/>
    <n v="3"/>
    <s v="Panula, Mr. Ernesti Arvid"/>
    <x v="0"/>
    <n v="16"/>
    <n v="4"/>
    <n v="1"/>
    <s v="3101295"/>
    <n v="39.6875"/>
    <x v="0"/>
    <x v="2"/>
    <n v="6"/>
    <x v="2"/>
    <x v="1"/>
    <x v="0"/>
    <n v="1"/>
  </r>
  <r>
    <n v="268"/>
    <n v="1"/>
    <n v="3"/>
    <s v="Persson, Mr. Ernst Ulrik"/>
    <x v="0"/>
    <n v="25"/>
    <n v="1"/>
    <n v="0"/>
    <s v="347083"/>
    <n v="7.7750000000000004"/>
    <x v="1"/>
    <x v="0"/>
    <n v="2"/>
    <x v="0"/>
    <x v="0"/>
    <x v="0"/>
    <n v="1"/>
  </r>
  <r>
    <n v="269"/>
    <n v="1"/>
    <n v="1"/>
    <s v="Graham, Mrs. William Thompson (Edith Junkins)"/>
    <x v="1"/>
    <n v="58"/>
    <n v="0"/>
    <n v="1"/>
    <s v="PC 17582"/>
    <n v="153.46250000000001"/>
    <x v="1"/>
    <x v="1"/>
    <n v="2"/>
    <x v="0"/>
    <x v="2"/>
    <x v="1"/>
    <n v="2"/>
  </r>
  <r>
    <n v="270"/>
    <n v="1"/>
    <n v="1"/>
    <s v="Bissette, Miss. Amelia"/>
    <x v="1"/>
    <n v="35"/>
    <n v="0"/>
    <n v="0"/>
    <s v="PC 17760"/>
    <n v="135.63329999999999"/>
    <x v="1"/>
    <x v="1"/>
    <n v="1"/>
    <x v="1"/>
    <x v="2"/>
    <x v="1"/>
    <n v="2"/>
  </r>
  <r>
    <n v="271"/>
    <n v="0"/>
    <n v="1"/>
    <s v="Cairns, Mr. Alexander"/>
    <x v="0"/>
    <n v="26"/>
    <n v="0"/>
    <n v="0"/>
    <s v="113798"/>
    <n v="31"/>
    <x v="0"/>
    <x v="0"/>
    <n v="1"/>
    <x v="1"/>
    <x v="1"/>
    <x v="1"/>
    <n v="1"/>
  </r>
  <r>
    <n v="272"/>
    <n v="1"/>
    <n v="3"/>
    <s v="Tornquist, Mr. William Henry"/>
    <x v="0"/>
    <n v="25"/>
    <n v="0"/>
    <n v="0"/>
    <s v="LINE"/>
    <n v="0"/>
    <x v="1"/>
    <x v="0"/>
    <n v="1"/>
    <x v="1"/>
    <x v="0"/>
    <x v="0"/>
    <n v="1"/>
  </r>
  <r>
    <n v="273"/>
    <n v="1"/>
    <n v="2"/>
    <s v="Mellinger, Mrs. (Elizabeth Anne Maidment)"/>
    <x v="1"/>
    <n v="41"/>
    <n v="0"/>
    <n v="1"/>
    <s v="250644"/>
    <n v="19.5"/>
    <x v="1"/>
    <x v="1"/>
    <n v="2"/>
    <x v="0"/>
    <x v="0"/>
    <x v="2"/>
    <n v="2"/>
  </r>
  <r>
    <n v="274"/>
    <n v="0"/>
    <n v="1"/>
    <s v="Natsch, Mr. Charles H"/>
    <x v="0"/>
    <n v="37"/>
    <n v="0"/>
    <n v="1"/>
    <s v="PC 17596"/>
    <n v="29.7"/>
    <x v="0"/>
    <x v="1"/>
    <n v="2"/>
    <x v="0"/>
    <x v="1"/>
    <x v="1"/>
    <n v="1"/>
  </r>
  <r>
    <n v="275"/>
    <n v="1"/>
    <n v="3"/>
    <s v="Healy, Miss. Hanora &quot;Nora&quot;"/>
    <x v="1"/>
    <n v="26"/>
    <n v="0"/>
    <n v="0"/>
    <s v="370375"/>
    <n v="7.75"/>
    <x v="1"/>
    <x v="0"/>
    <n v="1"/>
    <x v="1"/>
    <x v="0"/>
    <x v="0"/>
    <n v="2"/>
  </r>
  <r>
    <n v="276"/>
    <n v="1"/>
    <n v="1"/>
    <s v="Andrews, Miss. Kornelia Theodosia"/>
    <x v="1"/>
    <n v="63"/>
    <n v="1"/>
    <n v="0"/>
    <s v="13502"/>
    <n v="77.958299999999994"/>
    <x v="1"/>
    <x v="3"/>
    <n v="2"/>
    <x v="0"/>
    <x v="1"/>
    <x v="1"/>
    <n v="2"/>
  </r>
  <r>
    <n v="277"/>
    <n v="0"/>
    <n v="3"/>
    <s v="Lindblom, Miss. Augusta Charlotta"/>
    <x v="1"/>
    <n v="45"/>
    <n v="0"/>
    <n v="0"/>
    <s v="347073"/>
    <n v="7.75"/>
    <x v="0"/>
    <x v="1"/>
    <n v="1"/>
    <x v="1"/>
    <x v="0"/>
    <x v="0"/>
    <n v="2"/>
  </r>
  <r>
    <n v="278"/>
    <n v="0"/>
    <n v="2"/>
    <s v="Parkes, Mr. Francis &quot;Frank&quot;"/>
    <x v="0"/>
    <n v="26"/>
    <n v="0"/>
    <n v="0"/>
    <s v="239853"/>
    <n v="0"/>
    <x v="0"/>
    <x v="0"/>
    <n v="1"/>
    <x v="1"/>
    <x v="0"/>
    <x v="2"/>
    <n v="1"/>
  </r>
  <r>
    <n v="279"/>
    <n v="0"/>
    <n v="3"/>
    <s v="Rice, Master. Eric"/>
    <x v="0"/>
    <n v="7"/>
    <n v="4"/>
    <n v="1"/>
    <s v="382652"/>
    <n v="29.125"/>
    <x v="0"/>
    <x v="2"/>
    <n v="6"/>
    <x v="2"/>
    <x v="1"/>
    <x v="0"/>
    <n v="1"/>
  </r>
  <r>
    <n v="280"/>
    <n v="1"/>
    <n v="3"/>
    <s v="Abbott, Mrs. Stanton (Rosa Hunt)"/>
    <x v="1"/>
    <n v="35"/>
    <n v="1"/>
    <n v="1"/>
    <s v="C.A. 2673"/>
    <n v="20.25"/>
    <x v="1"/>
    <x v="1"/>
    <n v="3"/>
    <x v="0"/>
    <x v="0"/>
    <x v="0"/>
    <n v="2"/>
  </r>
  <r>
    <n v="281"/>
    <n v="0"/>
    <n v="3"/>
    <s v="Duane, Mr. Frank"/>
    <x v="0"/>
    <n v="65"/>
    <n v="0"/>
    <n v="0"/>
    <s v="336439"/>
    <n v="7.75"/>
    <x v="0"/>
    <x v="3"/>
    <n v="1"/>
    <x v="1"/>
    <x v="0"/>
    <x v="0"/>
    <n v="1"/>
  </r>
  <r>
    <n v="282"/>
    <n v="0"/>
    <n v="3"/>
    <s v="Olsson, Mr. Nils Johan Goransson"/>
    <x v="0"/>
    <n v="28"/>
    <n v="0"/>
    <n v="0"/>
    <s v="347464"/>
    <n v="7.8541999999999996"/>
    <x v="0"/>
    <x v="0"/>
    <n v="1"/>
    <x v="1"/>
    <x v="0"/>
    <x v="0"/>
    <n v="1"/>
  </r>
  <r>
    <n v="283"/>
    <n v="0"/>
    <n v="3"/>
    <s v="de Pelsmaeker, Mr. Alfons"/>
    <x v="0"/>
    <n v="16"/>
    <n v="0"/>
    <n v="0"/>
    <s v="345778"/>
    <n v="9.5"/>
    <x v="0"/>
    <x v="2"/>
    <n v="1"/>
    <x v="1"/>
    <x v="0"/>
    <x v="0"/>
    <n v="1"/>
  </r>
  <r>
    <n v="284"/>
    <n v="1"/>
    <n v="3"/>
    <s v="Dorking, Mr. Edward Arthur"/>
    <x v="0"/>
    <n v="19"/>
    <n v="0"/>
    <n v="0"/>
    <s v="A/5. 10482"/>
    <n v="8.0500000000000007"/>
    <x v="1"/>
    <x v="0"/>
    <n v="1"/>
    <x v="1"/>
    <x v="0"/>
    <x v="0"/>
    <n v="1"/>
  </r>
  <r>
    <n v="285"/>
    <n v="0"/>
    <n v="1"/>
    <s v="Smith, Mr. Richard William"/>
    <x v="0"/>
    <n v="26"/>
    <n v="0"/>
    <n v="0"/>
    <s v="113056"/>
    <n v="26"/>
    <x v="0"/>
    <x v="0"/>
    <n v="1"/>
    <x v="1"/>
    <x v="1"/>
    <x v="1"/>
    <n v="1"/>
  </r>
  <r>
    <n v="286"/>
    <n v="0"/>
    <n v="3"/>
    <s v="Stankovic, Mr. Ivan"/>
    <x v="0"/>
    <n v="33"/>
    <n v="0"/>
    <n v="0"/>
    <s v="349239"/>
    <n v="8.6624999999999996"/>
    <x v="0"/>
    <x v="0"/>
    <n v="1"/>
    <x v="1"/>
    <x v="0"/>
    <x v="0"/>
    <n v="1"/>
  </r>
  <r>
    <n v="287"/>
    <n v="1"/>
    <n v="3"/>
    <s v="de Mulder, Mr. Theodore"/>
    <x v="0"/>
    <n v="30"/>
    <n v="0"/>
    <n v="0"/>
    <s v="345774"/>
    <n v="9.5"/>
    <x v="1"/>
    <x v="0"/>
    <n v="1"/>
    <x v="1"/>
    <x v="0"/>
    <x v="0"/>
    <n v="1"/>
  </r>
  <r>
    <n v="288"/>
    <n v="0"/>
    <n v="3"/>
    <s v="Naidenoff, Mr. Penko"/>
    <x v="0"/>
    <n v="22"/>
    <n v="0"/>
    <n v="0"/>
    <s v="349206"/>
    <n v="7.8958000000000004"/>
    <x v="0"/>
    <x v="0"/>
    <n v="1"/>
    <x v="1"/>
    <x v="0"/>
    <x v="0"/>
    <n v="1"/>
  </r>
  <r>
    <n v="289"/>
    <n v="1"/>
    <n v="2"/>
    <s v="Hosono, Mr. Masabumi"/>
    <x v="0"/>
    <n v="42"/>
    <n v="0"/>
    <n v="0"/>
    <s v="237798"/>
    <n v="13"/>
    <x v="1"/>
    <x v="1"/>
    <n v="1"/>
    <x v="1"/>
    <x v="0"/>
    <x v="2"/>
    <n v="1"/>
  </r>
  <r>
    <n v="290"/>
    <n v="1"/>
    <n v="3"/>
    <s v="Connolly, Miss. Kate"/>
    <x v="1"/>
    <n v="22"/>
    <n v="0"/>
    <n v="0"/>
    <s v="370373"/>
    <n v="7.75"/>
    <x v="1"/>
    <x v="0"/>
    <n v="1"/>
    <x v="1"/>
    <x v="0"/>
    <x v="0"/>
    <n v="2"/>
  </r>
  <r>
    <n v="291"/>
    <n v="1"/>
    <n v="1"/>
    <s v="Barber, Miss. Ellen &quot;Nellie&quot;"/>
    <x v="1"/>
    <n v="26"/>
    <n v="0"/>
    <n v="0"/>
    <s v="19877"/>
    <n v="78.849999999999994"/>
    <x v="1"/>
    <x v="0"/>
    <n v="1"/>
    <x v="1"/>
    <x v="1"/>
    <x v="1"/>
    <n v="2"/>
  </r>
  <r>
    <n v="292"/>
    <n v="1"/>
    <n v="1"/>
    <s v="Bishop, Mrs. Dickinson H (Helen Walton)"/>
    <x v="1"/>
    <n v="19"/>
    <n v="1"/>
    <n v="0"/>
    <s v="11967"/>
    <n v="91.0792"/>
    <x v="1"/>
    <x v="0"/>
    <n v="2"/>
    <x v="0"/>
    <x v="1"/>
    <x v="1"/>
    <n v="2"/>
  </r>
  <r>
    <n v="293"/>
    <n v="0"/>
    <n v="2"/>
    <s v="Levy, Mr. Rene Jacques"/>
    <x v="0"/>
    <n v="36"/>
    <n v="0"/>
    <n v="0"/>
    <s v="SC/Paris 2163"/>
    <n v="12.875"/>
    <x v="0"/>
    <x v="1"/>
    <n v="1"/>
    <x v="1"/>
    <x v="0"/>
    <x v="2"/>
    <n v="1"/>
  </r>
  <r>
    <n v="294"/>
    <n v="0"/>
    <n v="3"/>
    <s v="Haas, Miss. Aloisia"/>
    <x v="1"/>
    <n v="24"/>
    <n v="0"/>
    <n v="0"/>
    <s v="349236"/>
    <n v="8.85"/>
    <x v="0"/>
    <x v="0"/>
    <n v="1"/>
    <x v="1"/>
    <x v="0"/>
    <x v="0"/>
    <n v="2"/>
  </r>
  <r>
    <n v="295"/>
    <n v="0"/>
    <n v="3"/>
    <s v="Mineff, Mr. Ivan"/>
    <x v="0"/>
    <n v="24"/>
    <n v="0"/>
    <n v="0"/>
    <s v="349233"/>
    <n v="7.8958000000000004"/>
    <x v="0"/>
    <x v="0"/>
    <n v="1"/>
    <x v="1"/>
    <x v="0"/>
    <x v="0"/>
    <n v="1"/>
  </r>
  <r>
    <n v="296"/>
    <n v="0"/>
    <n v="1"/>
    <s v="Lewy, Mr. Ervin G"/>
    <x v="0"/>
    <n v="26"/>
    <n v="0"/>
    <n v="0"/>
    <s v="PC 17612"/>
    <n v="27.720800000000001"/>
    <x v="0"/>
    <x v="0"/>
    <n v="1"/>
    <x v="1"/>
    <x v="1"/>
    <x v="1"/>
    <n v="1"/>
  </r>
  <r>
    <n v="297"/>
    <n v="0"/>
    <n v="3"/>
    <s v="Hanna, Mr. Mansour"/>
    <x v="0"/>
    <n v="23.5"/>
    <n v="0"/>
    <n v="0"/>
    <s v="2693"/>
    <n v="7.2291999999999996"/>
    <x v="0"/>
    <x v="0"/>
    <n v="1"/>
    <x v="1"/>
    <x v="0"/>
    <x v="0"/>
    <n v="1"/>
  </r>
  <r>
    <n v="298"/>
    <n v="0"/>
    <n v="1"/>
    <s v="Allison, Miss. Helen Loraine"/>
    <x v="1"/>
    <n v="2"/>
    <n v="1"/>
    <n v="2"/>
    <s v="113781"/>
    <n v="151.55000000000001"/>
    <x v="0"/>
    <x v="2"/>
    <n v="4"/>
    <x v="0"/>
    <x v="2"/>
    <x v="1"/>
    <n v="2"/>
  </r>
  <r>
    <n v="299"/>
    <n v="1"/>
    <n v="1"/>
    <s v="Saalfeld, Mr. Adolphe"/>
    <x v="0"/>
    <n v="26"/>
    <n v="0"/>
    <n v="0"/>
    <s v="19988"/>
    <n v="30.5"/>
    <x v="1"/>
    <x v="0"/>
    <n v="1"/>
    <x v="1"/>
    <x v="1"/>
    <x v="1"/>
    <n v="1"/>
  </r>
  <r>
    <n v="300"/>
    <n v="1"/>
    <n v="1"/>
    <s v="Baxter, Mrs. James (Helene DeLaudeniere Chaput)"/>
    <x v="1"/>
    <n v="50"/>
    <n v="0"/>
    <n v="1"/>
    <s v="PC 17558"/>
    <n v="247.52080000000001"/>
    <x v="1"/>
    <x v="1"/>
    <n v="2"/>
    <x v="0"/>
    <x v="2"/>
    <x v="1"/>
    <n v="2"/>
  </r>
  <r>
    <n v="301"/>
    <n v="1"/>
    <n v="3"/>
    <s v="Kelly, Miss. Anna Katherine &quot;Annie Kate&quot;"/>
    <x v="1"/>
    <n v="26"/>
    <n v="0"/>
    <n v="0"/>
    <s v="9234"/>
    <n v="7.75"/>
    <x v="1"/>
    <x v="0"/>
    <n v="1"/>
    <x v="1"/>
    <x v="0"/>
    <x v="0"/>
    <n v="2"/>
  </r>
  <r>
    <n v="302"/>
    <n v="1"/>
    <n v="3"/>
    <s v="McCoy, Mr. Bernard"/>
    <x v="0"/>
    <n v="26"/>
    <n v="2"/>
    <n v="0"/>
    <s v="367226"/>
    <n v="23.25"/>
    <x v="1"/>
    <x v="0"/>
    <n v="3"/>
    <x v="0"/>
    <x v="0"/>
    <x v="0"/>
    <n v="1"/>
  </r>
  <r>
    <n v="303"/>
    <n v="0"/>
    <n v="3"/>
    <s v="Johnson, Mr. William Cahoone Jr"/>
    <x v="0"/>
    <n v="19"/>
    <n v="0"/>
    <n v="0"/>
    <s v="LINE"/>
    <n v="0"/>
    <x v="0"/>
    <x v="0"/>
    <n v="1"/>
    <x v="1"/>
    <x v="0"/>
    <x v="0"/>
    <n v="1"/>
  </r>
  <r>
    <n v="304"/>
    <n v="1"/>
    <n v="2"/>
    <s v="Keane, Miss. Nora A"/>
    <x v="1"/>
    <n v="26"/>
    <n v="0"/>
    <n v="0"/>
    <s v="226593"/>
    <n v="12.35"/>
    <x v="1"/>
    <x v="0"/>
    <n v="1"/>
    <x v="1"/>
    <x v="0"/>
    <x v="2"/>
    <n v="2"/>
  </r>
  <r>
    <n v="305"/>
    <n v="0"/>
    <n v="3"/>
    <s v="Williams, Mr. Howard Hugh &quot;Harry&quot;"/>
    <x v="0"/>
    <n v="26"/>
    <n v="0"/>
    <n v="0"/>
    <s v="A/5 2466"/>
    <n v="8.0500000000000007"/>
    <x v="0"/>
    <x v="0"/>
    <n v="1"/>
    <x v="1"/>
    <x v="0"/>
    <x v="0"/>
    <n v="1"/>
  </r>
  <r>
    <n v="306"/>
    <n v="1"/>
    <n v="1"/>
    <s v="Allison, Master. Hudson Trevor"/>
    <x v="0"/>
    <n v="0.92"/>
    <n v="1"/>
    <n v="2"/>
    <s v="113781"/>
    <n v="151.55000000000001"/>
    <x v="1"/>
    <x v="2"/>
    <n v="4"/>
    <x v="0"/>
    <x v="2"/>
    <x v="1"/>
    <n v="1"/>
  </r>
  <r>
    <n v="307"/>
    <n v="1"/>
    <n v="1"/>
    <s v="Fleming, Miss. Margaret"/>
    <x v="1"/>
    <n v="26"/>
    <n v="0"/>
    <n v="0"/>
    <s v="17421"/>
    <n v="110.88330000000001"/>
    <x v="1"/>
    <x v="0"/>
    <n v="1"/>
    <x v="1"/>
    <x v="2"/>
    <x v="1"/>
    <n v="2"/>
  </r>
  <r>
    <n v="308"/>
    <n v="1"/>
    <n v="1"/>
    <s v="Penasco y Castellana, Mrs. Victor de Satode (Maria Josefa Perez de Soto y Vallejo)"/>
    <x v="1"/>
    <n v="17"/>
    <n v="1"/>
    <n v="0"/>
    <s v="PC 17758"/>
    <n v="108.9"/>
    <x v="1"/>
    <x v="2"/>
    <n v="2"/>
    <x v="0"/>
    <x v="2"/>
    <x v="1"/>
    <n v="2"/>
  </r>
  <r>
    <n v="309"/>
    <n v="0"/>
    <n v="2"/>
    <s v="Abelson, Mr. Samuel"/>
    <x v="0"/>
    <n v="30"/>
    <n v="1"/>
    <n v="0"/>
    <s v="P/PP 3381"/>
    <n v="24"/>
    <x v="0"/>
    <x v="0"/>
    <n v="2"/>
    <x v="0"/>
    <x v="0"/>
    <x v="2"/>
    <n v="1"/>
  </r>
  <r>
    <n v="310"/>
    <n v="1"/>
    <n v="1"/>
    <s v="Francatelli, Miss. Laura Mabel"/>
    <x v="1"/>
    <n v="30"/>
    <n v="0"/>
    <n v="0"/>
    <s v="PC 17485"/>
    <n v="56.929200000000002"/>
    <x v="1"/>
    <x v="0"/>
    <n v="1"/>
    <x v="1"/>
    <x v="1"/>
    <x v="1"/>
    <n v="2"/>
  </r>
  <r>
    <n v="311"/>
    <n v="1"/>
    <n v="1"/>
    <s v="Hays, Miss. Margaret Bechstein"/>
    <x v="1"/>
    <n v="24"/>
    <n v="0"/>
    <n v="0"/>
    <s v="11767"/>
    <n v="83.158299999999997"/>
    <x v="1"/>
    <x v="0"/>
    <n v="1"/>
    <x v="1"/>
    <x v="1"/>
    <x v="1"/>
    <n v="2"/>
  </r>
  <r>
    <n v="312"/>
    <n v="1"/>
    <n v="1"/>
    <s v="Ryerson, Miss. Emily Borie"/>
    <x v="1"/>
    <n v="18"/>
    <n v="2"/>
    <n v="2"/>
    <s v="PC 17608"/>
    <n v="262.375"/>
    <x v="1"/>
    <x v="0"/>
    <n v="5"/>
    <x v="2"/>
    <x v="2"/>
    <x v="1"/>
    <n v="2"/>
  </r>
  <r>
    <n v="313"/>
    <n v="0"/>
    <n v="2"/>
    <s v="Lahtinen, Mrs. William (Anna Sylfven)"/>
    <x v="1"/>
    <n v="26"/>
    <n v="1"/>
    <n v="1"/>
    <s v="250651"/>
    <n v="26"/>
    <x v="0"/>
    <x v="0"/>
    <n v="3"/>
    <x v="0"/>
    <x v="1"/>
    <x v="2"/>
    <n v="2"/>
  </r>
  <r>
    <n v="314"/>
    <n v="0"/>
    <n v="3"/>
    <s v="Hendekovic, Mr. Ignjac"/>
    <x v="0"/>
    <n v="28"/>
    <n v="0"/>
    <n v="0"/>
    <s v="349243"/>
    <n v="7.8958000000000004"/>
    <x v="0"/>
    <x v="0"/>
    <n v="1"/>
    <x v="1"/>
    <x v="0"/>
    <x v="0"/>
    <n v="1"/>
  </r>
  <r>
    <n v="315"/>
    <n v="0"/>
    <n v="2"/>
    <s v="Hart, Mr. Benjamin"/>
    <x v="0"/>
    <n v="43"/>
    <n v="1"/>
    <n v="1"/>
    <s v="F.C.C. 13529"/>
    <n v="26.25"/>
    <x v="0"/>
    <x v="1"/>
    <n v="3"/>
    <x v="0"/>
    <x v="1"/>
    <x v="2"/>
    <n v="1"/>
  </r>
  <r>
    <n v="316"/>
    <n v="1"/>
    <n v="3"/>
    <s v="Nilsson, Miss. Helmina Josefina"/>
    <x v="1"/>
    <n v="26"/>
    <n v="0"/>
    <n v="0"/>
    <s v="347470"/>
    <n v="7.8541999999999996"/>
    <x v="1"/>
    <x v="0"/>
    <n v="1"/>
    <x v="1"/>
    <x v="0"/>
    <x v="0"/>
    <n v="2"/>
  </r>
  <r>
    <n v="317"/>
    <n v="1"/>
    <n v="2"/>
    <s v="Kantor, Mrs. Sinai (Miriam Sternin)"/>
    <x v="1"/>
    <n v="24"/>
    <n v="1"/>
    <n v="0"/>
    <s v="244367"/>
    <n v="26"/>
    <x v="1"/>
    <x v="0"/>
    <n v="2"/>
    <x v="0"/>
    <x v="1"/>
    <x v="2"/>
    <n v="2"/>
  </r>
  <r>
    <n v="318"/>
    <n v="0"/>
    <n v="2"/>
    <s v="Moraweck, Dr. Ernest"/>
    <x v="0"/>
    <n v="54"/>
    <n v="0"/>
    <n v="0"/>
    <s v="29011"/>
    <n v="14"/>
    <x v="0"/>
    <x v="1"/>
    <n v="1"/>
    <x v="1"/>
    <x v="0"/>
    <x v="2"/>
    <n v="1"/>
  </r>
  <r>
    <n v="319"/>
    <n v="1"/>
    <n v="1"/>
    <s v="Wick, Miss. Mary Natalie"/>
    <x v="1"/>
    <n v="31"/>
    <n v="0"/>
    <n v="2"/>
    <s v="36928"/>
    <n v="164.86670000000001"/>
    <x v="1"/>
    <x v="0"/>
    <n v="3"/>
    <x v="0"/>
    <x v="2"/>
    <x v="1"/>
    <n v="2"/>
  </r>
  <r>
    <n v="320"/>
    <n v="1"/>
    <n v="1"/>
    <s v="Spedden, Mrs. Frederic Oakley (Margaretta Corning Stone)"/>
    <x v="1"/>
    <n v="40"/>
    <n v="1"/>
    <n v="1"/>
    <s v="16966"/>
    <n v="134.5"/>
    <x v="1"/>
    <x v="1"/>
    <n v="3"/>
    <x v="0"/>
    <x v="2"/>
    <x v="1"/>
    <n v="2"/>
  </r>
  <r>
    <n v="321"/>
    <n v="0"/>
    <n v="3"/>
    <s v="Dennis, Mr. Samuel"/>
    <x v="0"/>
    <n v="22"/>
    <n v="0"/>
    <n v="0"/>
    <s v="A/5 21172"/>
    <n v="7.25"/>
    <x v="0"/>
    <x v="0"/>
    <n v="1"/>
    <x v="1"/>
    <x v="0"/>
    <x v="0"/>
    <n v="1"/>
  </r>
  <r>
    <n v="322"/>
    <n v="0"/>
    <n v="3"/>
    <s v="Danoff, Mr. Yoto"/>
    <x v="0"/>
    <n v="27"/>
    <n v="0"/>
    <n v="0"/>
    <s v="349219"/>
    <n v="7.8958000000000004"/>
    <x v="0"/>
    <x v="0"/>
    <n v="1"/>
    <x v="1"/>
    <x v="0"/>
    <x v="0"/>
    <n v="1"/>
  </r>
  <r>
    <n v="323"/>
    <n v="1"/>
    <n v="2"/>
    <s v="Slayter, Miss. Hilda Mary"/>
    <x v="1"/>
    <n v="30"/>
    <n v="0"/>
    <n v="0"/>
    <s v="234818"/>
    <n v="12.35"/>
    <x v="1"/>
    <x v="0"/>
    <n v="1"/>
    <x v="1"/>
    <x v="0"/>
    <x v="2"/>
    <n v="2"/>
  </r>
  <r>
    <n v="324"/>
    <n v="1"/>
    <n v="2"/>
    <s v="Caldwell, Mrs. Albert Francis (Sylvia Mae Harbaugh)"/>
    <x v="1"/>
    <n v="22"/>
    <n v="1"/>
    <n v="1"/>
    <s v="248738"/>
    <n v="29"/>
    <x v="1"/>
    <x v="0"/>
    <n v="3"/>
    <x v="0"/>
    <x v="1"/>
    <x v="2"/>
    <n v="2"/>
  </r>
  <r>
    <n v="325"/>
    <n v="0"/>
    <n v="3"/>
    <s v="Sage, Mr. George John Jr"/>
    <x v="0"/>
    <n v="26"/>
    <n v="8"/>
    <n v="2"/>
    <s v="CA. 2343"/>
    <n v="69.55"/>
    <x v="0"/>
    <x v="0"/>
    <n v="11"/>
    <x v="2"/>
    <x v="1"/>
    <x v="0"/>
    <n v="1"/>
  </r>
  <r>
    <n v="326"/>
    <n v="1"/>
    <n v="1"/>
    <s v="Young, Miss. Marie Grice"/>
    <x v="1"/>
    <n v="36"/>
    <n v="0"/>
    <n v="0"/>
    <s v="PC 17760"/>
    <n v="135.63329999999999"/>
    <x v="1"/>
    <x v="1"/>
    <n v="1"/>
    <x v="1"/>
    <x v="2"/>
    <x v="1"/>
    <n v="2"/>
  </r>
  <r>
    <n v="327"/>
    <n v="0"/>
    <n v="3"/>
    <s v="Nysveen, Mr. Johan Hansen"/>
    <x v="0"/>
    <n v="61"/>
    <n v="0"/>
    <n v="0"/>
    <s v="345364"/>
    <n v="6.2374999999999998"/>
    <x v="0"/>
    <x v="3"/>
    <n v="1"/>
    <x v="1"/>
    <x v="0"/>
    <x v="0"/>
    <n v="1"/>
  </r>
  <r>
    <n v="328"/>
    <n v="1"/>
    <n v="2"/>
    <s v="Ball, Mrs. (Ada E Hall)"/>
    <x v="1"/>
    <n v="36"/>
    <n v="0"/>
    <n v="0"/>
    <s v="28551"/>
    <n v="13"/>
    <x v="1"/>
    <x v="1"/>
    <n v="1"/>
    <x v="1"/>
    <x v="0"/>
    <x v="2"/>
    <n v="2"/>
  </r>
  <r>
    <n v="329"/>
    <n v="1"/>
    <n v="3"/>
    <s v="Goldsmith, Mrs. Frank John (Emily Alice Brown)"/>
    <x v="1"/>
    <n v="31"/>
    <n v="1"/>
    <n v="1"/>
    <s v="363291"/>
    <n v="20.524999999999999"/>
    <x v="1"/>
    <x v="0"/>
    <n v="3"/>
    <x v="0"/>
    <x v="0"/>
    <x v="0"/>
    <n v="2"/>
  </r>
  <r>
    <n v="330"/>
    <n v="1"/>
    <n v="1"/>
    <s v="Hippach, Miss. Jean Gertrude"/>
    <x v="1"/>
    <n v="16"/>
    <n v="0"/>
    <n v="1"/>
    <s v="111361"/>
    <n v="57.979199999999999"/>
    <x v="1"/>
    <x v="2"/>
    <n v="2"/>
    <x v="0"/>
    <x v="1"/>
    <x v="1"/>
    <n v="2"/>
  </r>
  <r>
    <n v="331"/>
    <n v="1"/>
    <n v="3"/>
    <s v="McCoy, Miss. Agnes"/>
    <x v="1"/>
    <n v="26"/>
    <n v="2"/>
    <n v="0"/>
    <s v="367226"/>
    <n v="23.25"/>
    <x v="1"/>
    <x v="0"/>
    <n v="3"/>
    <x v="0"/>
    <x v="0"/>
    <x v="0"/>
    <n v="2"/>
  </r>
  <r>
    <n v="332"/>
    <n v="0"/>
    <n v="1"/>
    <s v="Partner, Mr. Austen"/>
    <x v="0"/>
    <n v="45.5"/>
    <n v="0"/>
    <n v="0"/>
    <s v="113043"/>
    <n v="28.5"/>
    <x v="0"/>
    <x v="1"/>
    <n v="1"/>
    <x v="1"/>
    <x v="1"/>
    <x v="1"/>
    <n v="1"/>
  </r>
  <r>
    <n v="333"/>
    <n v="0"/>
    <n v="1"/>
    <s v="Graham, Mr. George Edward"/>
    <x v="0"/>
    <n v="38"/>
    <n v="0"/>
    <n v="1"/>
    <s v="PC 17582"/>
    <n v="153.46250000000001"/>
    <x v="0"/>
    <x v="1"/>
    <n v="2"/>
    <x v="0"/>
    <x v="2"/>
    <x v="1"/>
    <n v="1"/>
  </r>
  <r>
    <n v="334"/>
    <n v="0"/>
    <n v="3"/>
    <s v="Vander Planke, Mr. Leo Edmondus"/>
    <x v="0"/>
    <n v="16"/>
    <n v="2"/>
    <n v="0"/>
    <s v="345764"/>
    <n v="18"/>
    <x v="0"/>
    <x v="2"/>
    <n v="3"/>
    <x v="0"/>
    <x v="0"/>
    <x v="0"/>
    <n v="1"/>
  </r>
  <r>
    <n v="335"/>
    <n v="1"/>
    <n v="1"/>
    <s v="Frauenthal, Mrs. Henry William (Clara Heinsheimer)"/>
    <x v="1"/>
    <n v="26"/>
    <n v="1"/>
    <n v="0"/>
    <s v="PC 17611"/>
    <n v="133.65"/>
    <x v="1"/>
    <x v="0"/>
    <n v="2"/>
    <x v="0"/>
    <x v="2"/>
    <x v="1"/>
    <n v="2"/>
  </r>
  <r>
    <n v="336"/>
    <n v="0"/>
    <n v="3"/>
    <s v="Denkoff, Mr. Mitto"/>
    <x v="0"/>
    <n v="26"/>
    <n v="0"/>
    <n v="0"/>
    <s v="349225"/>
    <n v="7.8958000000000004"/>
    <x v="0"/>
    <x v="0"/>
    <n v="1"/>
    <x v="1"/>
    <x v="0"/>
    <x v="0"/>
    <n v="1"/>
  </r>
  <r>
    <n v="337"/>
    <n v="0"/>
    <n v="1"/>
    <s v="Pears, Mr. Thomas Clinton"/>
    <x v="0"/>
    <n v="29"/>
    <n v="1"/>
    <n v="0"/>
    <s v="113776"/>
    <n v="66.599999999999994"/>
    <x v="0"/>
    <x v="0"/>
    <n v="2"/>
    <x v="0"/>
    <x v="1"/>
    <x v="1"/>
    <n v="1"/>
  </r>
  <r>
    <n v="338"/>
    <n v="1"/>
    <n v="1"/>
    <s v="Burns, Miss. Elizabeth Margaret"/>
    <x v="1"/>
    <n v="41"/>
    <n v="0"/>
    <n v="0"/>
    <s v="16966"/>
    <n v="134.5"/>
    <x v="1"/>
    <x v="1"/>
    <n v="1"/>
    <x v="1"/>
    <x v="2"/>
    <x v="1"/>
    <n v="2"/>
  </r>
  <r>
    <n v="339"/>
    <n v="1"/>
    <n v="3"/>
    <s v="Dahl, Mr. Karl Edwart"/>
    <x v="0"/>
    <n v="45"/>
    <n v="0"/>
    <n v="0"/>
    <s v="7598"/>
    <n v="8.0500000000000007"/>
    <x v="1"/>
    <x v="1"/>
    <n v="1"/>
    <x v="1"/>
    <x v="0"/>
    <x v="0"/>
    <n v="1"/>
  </r>
  <r>
    <n v="340"/>
    <n v="0"/>
    <n v="1"/>
    <s v="Blackwell, Mr. Stephen Weart"/>
    <x v="0"/>
    <n v="45"/>
    <n v="0"/>
    <n v="0"/>
    <s v="113784"/>
    <n v="35.5"/>
    <x v="0"/>
    <x v="1"/>
    <n v="1"/>
    <x v="1"/>
    <x v="1"/>
    <x v="1"/>
    <n v="1"/>
  </r>
  <r>
    <n v="341"/>
    <n v="1"/>
    <n v="2"/>
    <s v="Navratil, Master. Edmond Roger"/>
    <x v="0"/>
    <n v="2"/>
    <n v="1"/>
    <n v="1"/>
    <s v="230080"/>
    <n v="26"/>
    <x v="1"/>
    <x v="2"/>
    <n v="3"/>
    <x v="0"/>
    <x v="1"/>
    <x v="2"/>
    <n v="1"/>
  </r>
  <r>
    <n v="342"/>
    <n v="1"/>
    <n v="1"/>
    <s v="Fortune, Miss. Alice Elizabeth"/>
    <x v="1"/>
    <n v="24"/>
    <n v="3"/>
    <n v="2"/>
    <s v="19950"/>
    <n v="263"/>
    <x v="1"/>
    <x v="0"/>
    <n v="6"/>
    <x v="2"/>
    <x v="2"/>
    <x v="1"/>
    <n v="2"/>
  </r>
  <r>
    <n v="343"/>
    <n v="0"/>
    <n v="2"/>
    <s v="Collander, Mr. Erik Gustaf"/>
    <x v="0"/>
    <n v="28"/>
    <n v="0"/>
    <n v="0"/>
    <s v="248740"/>
    <n v="13"/>
    <x v="0"/>
    <x v="0"/>
    <n v="1"/>
    <x v="1"/>
    <x v="0"/>
    <x v="2"/>
    <n v="1"/>
  </r>
  <r>
    <n v="344"/>
    <n v="0"/>
    <n v="2"/>
    <s v="Sedgwick, Mr. Charles Frederick Waddington"/>
    <x v="0"/>
    <n v="25"/>
    <n v="0"/>
    <n v="0"/>
    <s v="244361"/>
    <n v="13"/>
    <x v="0"/>
    <x v="0"/>
    <n v="1"/>
    <x v="1"/>
    <x v="0"/>
    <x v="2"/>
    <n v="1"/>
  </r>
  <r>
    <n v="345"/>
    <n v="0"/>
    <n v="2"/>
    <s v="Fox, Mr. Stanley Hubert"/>
    <x v="0"/>
    <n v="36"/>
    <n v="0"/>
    <n v="0"/>
    <s v="229236"/>
    <n v="13"/>
    <x v="0"/>
    <x v="1"/>
    <n v="1"/>
    <x v="1"/>
    <x v="0"/>
    <x v="2"/>
    <n v="1"/>
  </r>
  <r>
    <n v="346"/>
    <n v="1"/>
    <n v="2"/>
    <s v="Brown, Miss. Amelia &quot;Mildred&quot;"/>
    <x v="1"/>
    <n v="24"/>
    <n v="0"/>
    <n v="0"/>
    <s v="248733"/>
    <n v="13"/>
    <x v="1"/>
    <x v="0"/>
    <n v="1"/>
    <x v="1"/>
    <x v="0"/>
    <x v="2"/>
    <n v="2"/>
  </r>
  <r>
    <n v="347"/>
    <n v="1"/>
    <n v="2"/>
    <s v="Smith, Miss. Marion Elsie"/>
    <x v="1"/>
    <n v="40"/>
    <n v="0"/>
    <n v="0"/>
    <s v="31418"/>
    <n v="13"/>
    <x v="1"/>
    <x v="1"/>
    <n v="1"/>
    <x v="1"/>
    <x v="0"/>
    <x v="2"/>
    <n v="2"/>
  </r>
  <r>
    <n v="348"/>
    <n v="1"/>
    <n v="3"/>
    <s v="Davison, Mrs. Thomas Henry (Mary E Finck)"/>
    <x v="1"/>
    <n v="26"/>
    <n v="1"/>
    <n v="0"/>
    <s v="386525"/>
    <n v="16.100000000000001"/>
    <x v="1"/>
    <x v="0"/>
    <n v="2"/>
    <x v="0"/>
    <x v="0"/>
    <x v="0"/>
    <n v="2"/>
  </r>
  <r>
    <n v="349"/>
    <n v="1"/>
    <n v="3"/>
    <s v="Coutts, Master. William Loch &quot;William&quot;"/>
    <x v="0"/>
    <n v="3"/>
    <n v="1"/>
    <n v="1"/>
    <s v="C.A. 37671"/>
    <n v="15.9"/>
    <x v="1"/>
    <x v="2"/>
    <n v="3"/>
    <x v="0"/>
    <x v="0"/>
    <x v="0"/>
    <n v="1"/>
  </r>
  <r>
    <n v="350"/>
    <n v="0"/>
    <n v="3"/>
    <s v="Dimic, Mr. Jovan"/>
    <x v="0"/>
    <n v="42"/>
    <n v="0"/>
    <n v="0"/>
    <s v="315088"/>
    <n v="8.6624999999999996"/>
    <x v="0"/>
    <x v="1"/>
    <n v="1"/>
    <x v="1"/>
    <x v="0"/>
    <x v="0"/>
    <n v="1"/>
  </r>
  <r>
    <n v="351"/>
    <n v="0"/>
    <n v="3"/>
    <s v="Odahl, Mr. Nils Martin"/>
    <x v="0"/>
    <n v="23"/>
    <n v="0"/>
    <n v="0"/>
    <s v="7267"/>
    <n v="9.2249999999999996"/>
    <x v="0"/>
    <x v="0"/>
    <n v="1"/>
    <x v="1"/>
    <x v="0"/>
    <x v="0"/>
    <n v="1"/>
  </r>
  <r>
    <n v="352"/>
    <n v="0"/>
    <n v="1"/>
    <s v="Williams-Lambert, Mr. Fletcher Fellows"/>
    <x v="0"/>
    <n v="26"/>
    <n v="0"/>
    <n v="0"/>
    <s v="113510"/>
    <n v="35"/>
    <x v="0"/>
    <x v="0"/>
    <n v="1"/>
    <x v="1"/>
    <x v="1"/>
    <x v="1"/>
    <n v="1"/>
  </r>
  <r>
    <n v="353"/>
    <n v="0"/>
    <n v="3"/>
    <s v="Elias, Mr. Tannous"/>
    <x v="0"/>
    <n v="15"/>
    <n v="1"/>
    <n v="1"/>
    <s v="2695"/>
    <n v="7.2291999999999996"/>
    <x v="0"/>
    <x v="2"/>
    <n v="3"/>
    <x v="0"/>
    <x v="0"/>
    <x v="0"/>
    <n v="1"/>
  </r>
  <r>
    <n v="354"/>
    <n v="0"/>
    <n v="3"/>
    <s v="Arnold-Franchi, Mr. Josef"/>
    <x v="0"/>
    <n v="25"/>
    <n v="1"/>
    <n v="0"/>
    <s v="349237"/>
    <n v="17.8"/>
    <x v="0"/>
    <x v="0"/>
    <n v="2"/>
    <x v="0"/>
    <x v="0"/>
    <x v="0"/>
    <n v="1"/>
  </r>
  <r>
    <n v="355"/>
    <n v="0"/>
    <n v="3"/>
    <s v="Yousif, Mr. Wazli"/>
    <x v="0"/>
    <n v="26"/>
    <n v="0"/>
    <n v="0"/>
    <s v="2647"/>
    <n v="7.2249999999999996"/>
    <x v="0"/>
    <x v="0"/>
    <n v="1"/>
    <x v="1"/>
    <x v="0"/>
    <x v="0"/>
    <n v="1"/>
  </r>
  <r>
    <n v="356"/>
    <n v="0"/>
    <n v="3"/>
    <s v="Vanden Steen, Mr. Leo Peter"/>
    <x v="0"/>
    <n v="28"/>
    <n v="0"/>
    <n v="0"/>
    <s v="345783"/>
    <n v="9.5"/>
    <x v="0"/>
    <x v="0"/>
    <n v="1"/>
    <x v="1"/>
    <x v="0"/>
    <x v="0"/>
    <n v="1"/>
  </r>
  <r>
    <n v="357"/>
    <n v="1"/>
    <n v="1"/>
    <s v="Bowerman, Miss. Elsie Edith"/>
    <x v="1"/>
    <n v="22"/>
    <n v="0"/>
    <n v="1"/>
    <s v="113505"/>
    <n v="55"/>
    <x v="1"/>
    <x v="0"/>
    <n v="2"/>
    <x v="0"/>
    <x v="1"/>
    <x v="1"/>
    <n v="2"/>
  </r>
  <r>
    <n v="358"/>
    <n v="0"/>
    <n v="2"/>
    <s v="Funk, Miss. Annie Clemmer"/>
    <x v="1"/>
    <n v="38"/>
    <n v="0"/>
    <n v="0"/>
    <s v="237671"/>
    <n v="13"/>
    <x v="0"/>
    <x v="1"/>
    <n v="1"/>
    <x v="1"/>
    <x v="0"/>
    <x v="2"/>
    <n v="2"/>
  </r>
  <r>
    <n v="359"/>
    <n v="1"/>
    <n v="3"/>
    <s v="McGovern, Miss. Mary"/>
    <x v="1"/>
    <n v="26"/>
    <n v="0"/>
    <n v="0"/>
    <s v="330931"/>
    <n v="7.8792"/>
    <x v="1"/>
    <x v="0"/>
    <n v="1"/>
    <x v="1"/>
    <x v="0"/>
    <x v="0"/>
    <n v="2"/>
  </r>
  <r>
    <n v="360"/>
    <n v="1"/>
    <n v="3"/>
    <s v="Mockler, Miss. Helen Mary &quot;Ellie&quot;"/>
    <x v="1"/>
    <n v="26"/>
    <n v="0"/>
    <n v="0"/>
    <s v="330980"/>
    <n v="7.8792"/>
    <x v="1"/>
    <x v="0"/>
    <n v="1"/>
    <x v="1"/>
    <x v="0"/>
    <x v="0"/>
    <n v="2"/>
  </r>
  <r>
    <n v="361"/>
    <n v="0"/>
    <n v="3"/>
    <s v="Skoog, Mr. Wilhelm"/>
    <x v="0"/>
    <n v="40"/>
    <n v="1"/>
    <n v="4"/>
    <s v="347088"/>
    <n v="27.9"/>
    <x v="0"/>
    <x v="1"/>
    <n v="6"/>
    <x v="2"/>
    <x v="1"/>
    <x v="0"/>
    <n v="1"/>
  </r>
  <r>
    <n v="362"/>
    <n v="0"/>
    <n v="2"/>
    <s v="del Carlo, Mr. Sebastiano"/>
    <x v="0"/>
    <n v="29"/>
    <n v="1"/>
    <n v="0"/>
    <s v="SC/PARIS 2167"/>
    <n v="27.720800000000001"/>
    <x v="0"/>
    <x v="0"/>
    <n v="2"/>
    <x v="0"/>
    <x v="1"/>
    <x v="2"/>
    <n v="1"/>
  </r>
  <r>
    <n v="363"/>
    <n v="0"/>
    <n v="3"/>
    <s v="Barbara, Mrs. (Catherine David)"/>
    <x v="1"/>
    <n v="45"/>
    <n v="0"/>
    <n v="1"/>
    <s v="2691"/>
    <n v="14.4542"/>
    <x v="0"/>
    <x v="1"/>
    <n v="2"/>
    <x v="0"/>
    <x v="0"/>
    <x v="0"/>
    <n v="2"/>
  </r>
  <r>
    <n v="364"/>
    <n v="0"/>
    <n v="3"/>
    <s v="Asim, Mr. Adola"/>
    <x v="0"/>
    <n v="35"/>
    <n v="0"/>
    <n v="0"/>
    <s v="SOTON/O.Q. 3101310"/>
    <n v="7.05"/>
    <x v="0"/>
    <x v="1"/>
    <n v="1"/>
    <x v="1"/>
    <x v="0"/>
    <x v="0"/>
    <n v="1"/>
  </r>
  <r>
    <n v="365"/>
    <n v="0"/>
    <n v="3"/>
    <s v="O'Brien, Mr. Thomas"/>
    <x v="0"/>
    <n v="26"/>
    <n v="1"/>
    <n v="0"/>
    <s v="370365"/>
    <n v="15.5"/>
    <x v="0"/>
    <x v="0"/>
    <n v="2"/>
    <x v="0"/>
    <x v="0"/>
    <x v="0"/>
    <n v="1"/>
  </r>
  <r>
    <n v="366"/>
    <n v="0"/>
    <n v="3"/>
    <s v="Adahl, Mr. Mauritz Nils Martin"/>
    <x v="0"/>
    <n v="30"/>
    <n v="0"/>
    <n v="0"/>
    <s v="C 7076"/>
    <n v="7.25"/>
    <x v="0"/>
    <x v="0"/>
    <n v="1"/>
    <x v="1"/>
    <x v="0"/>
    <x v="0"/>
    <n v="1"/>
  </r>
  <r>
    <n v="367"/>
    <n v="1"/>
    <n v="1"/>
    <s v="Warren, Mrs. Frank Manley (Anna Sophia Atkinson)"/>
    <x v="1"/>
    <n v="60"/>
    <n v="1"/>
    <n v="0"/>
    <s v="110813"/>
    <n v="75.25"/>
    <x v="1"/>
    <x v="3"/>
    <n v="2"/>
    <x v="0"/>
    <x v="1"/>
    <x v="1"/>
    <n v="2"/>
  </r>
  <r>
    <n v="368"/>
    <n v="1"/>
    <n v="3"/>
    <s v="Moussa, Mrs. (Mantoura Boulos)"/>
    <x v="1"/>
    <n v="26"/>
    <n v="0"/>
    <n v="0"/>
    <s v="2626"/>
    <n v="7.2291999999999996"/>
    <x v="1"/>
    <x v="0"/>
    <n v="1"/>
    <x v="1"/>
    <x v="0"/>
    <x v="0"/>
    <n v="2"/>
  </r>
  <r>
    <n v="369"/>
    <n v="1"/>
    <n v="3"/>
    <s v="Jermyn, Miss. Annie"/>
    <x v="1"/>
    <n v="26"/>
    <n v="0"/>
    <n v="0"/>
    <s v="14313"/>
    <n v="7.75"/>
    <x v="1"/>
    <x v="0"/>
    <n v="1"/>
    <x v="1"/>
    <x v="0"/>
    <x v="0"/>
    <n v="2"/>
  </r>
  <r>
    <n v="370"/>
    <n v="1"/>
    <n v="1"/>
    <s v="Aubart, Mme. Leontine Pauline"/>
    <x v="1"/>
    <n v="24"/>
    <n v="0"/>
    <n v="0"/>
    <s v="PC 17477"/>
    <n v="69.3"/>
    <x v="1"/>
    <x v="0"/>
    <n v="1"/>
    <x v="1"/>
    <x v="1"/>
    <x v="1"/>
    <n v="2"/>
  </r>
  <r>
    <n v="371"/>
    <n v="1"/>
    <n v="1"/>
    <s v="Harder, Mr. George Achilles"/>
    <x v="0"/>
    <n v="25"/>
    <n v="1"/>
    <n v="0"/>
    <s v="11765"/>
    <n v="55.441699999999997"/>
    <x v="1"/>
    <x v="0"/>
    <n v="2"/>
    <x v="0"/>
    <x v="1"/>
    <x v="1"/>
    <n v="1"/>
  </r>
  <r>
    <n v="372"/>
    <n v="0"/>
    <n v="3"/>
    <s v="Wiklund, Mr. Jakob Alfred"/>
    <x v="0"/>
    <n v="18"/>
    <n v="1"/>
    <n v="0"/>
    <s v="3101267"/>
    <n v="6.4958"/>
    <x v="0"/>
    <x v="0"/>
    <n v="2"/>
    <x v="0"/>
    <x v="0"/>
    <x v="0"/>
    <n v="1"/>
  </r>
  <r>
    <n v="373"/>
    <n v="0"/>
    <n v="3"/>
    <s v="Beavan, Mr. William Thomas"/>
    <x v="0"/>
    <n v="19"/>
    <n v="0"/>
    <n v="0"/>
    <s v="323951"/>
    <n v="8.0500000000000007"/>
    <x v="0"/>
    <x v="0"/>
    <n v="1"/>
    <x v="1"/>
    <x v="0"/>
    <x v="0"/>
    <n v="1"/>
  </r>
  <r>
    <n v="374"/>
    <n v="0"/>
    <n v="1"/>
    <s v="Ringhini, Mr. Sante"/>
    <x v="0"/>
    <n v="22"/>
    <n v="0"/>
    <n v="0"/>
    <s v="PC 17760"/>
    <n v="135.63329999999999"/>
    <x v="0"/>
    <x v="0"/>
    <n v="1"/>
    <x v="1"/>
    <x v="2"/>
    <x v="1"/>
    <n v="1"/>
  </r>
  <r>
    <n v="375"/>
    <n v="0"/>
    <n v="3"/>
    <s v="Palsson, Miss. Stina Viola"/>
    <x v="1"/>
    <n v="3"/>
    <n v="3"/>
    <n v="1"/>
    <s v="349909"/>
    <n v="21.074999999999999"/>
    <x v="0"/>
    <x v="2"/>
    <n v="5"/>
    <x v="2"/>
    <x v="0"/>
    <x v="0"/>
    <n v="2"/>
  </r>
  <r>
    <n v="376"/>
    <n v="1"/>
    <n v="1"/>
    <s v="Meyer, Mrs. Edgar Joseph (Leila Saks)"/>
    <x v="1"/>
    <n v="26"/>
    <n v="1"/>
    <n v="0"/>
    <s v="PC 17604"/>
    <n v="82.1708"/>
    <x v="1"/>
    <x v="0"/>
    <n v="2"/>
    <x v="0"/>
    <x v="1"/>
    <x v="1"/>
    <n v="2"/>
  </r>
  <r>
    <n v="377"/>
    <n v="1"/>
    <n v="3"/>
    <s v="Landergren, Miss. Aurora Adelia"/>
    <x v="1"/>
    <n v="22"/>
    <n v="0"/>
    <n v="0"/>
    <s v="C 7077"/>
    <n v="7.25"/>
    <x v="1"/>
    <x v="0"/>
    <n v="1"/>
    <x v="1"/>
    <x v="0"/>
    <x v="0"/>
    <n v="2"/>
  </r>
  <r>
    <n v="378"/>
    <n v="0"/>
    <n v="1"/>
    <s v="Widener, Mr. Harry Elkins"/>
    <x v="0"/>
    <n v="27"/>
    <n v="0"/>
    <n v="2"/>
    <s v="113503"/>
    <n v="211.5"/>
    <x v="0"/>
    <x v="0"/>
    <n v="3"/>
    <x v="0"/>
    <x v="2"/>
    <x v="1"/>
    <n v="1"/>
  </r>
  <r>
    <n v="379"/>
    <n v="0"/>
    <n v="3"/>
    <s v="Betros, Mr. Tannous"/>
    <x v="0"/>
    <n v="20"/>
    <n v="0"/>
    <n v="0"/>
    <s v="2648"/>
    <n v="4.0125000000000002"/>
    <x v="0"/>
    <x v="0"/>
    <n v="1"/>
    <x v="1"/>
    <x v="0"/>
    <x v="0"/>
    <n v="1"/>
  </r>
  <r>
    <n v="380"/>
    <n v="0"/>
    <n v="3"/>
    <s v="Gustafsson, Mr. Karl Gideon"/>
    <x v="0"/>
    <n v="19"/>
    <n v="0"/>
    <n v="0"/>
    <s v="347069"/>
    <n v="7.7750000000000004"/>
    <x v="0"/>
    <x v="0"/>
    <n v="1"/>
    <x v="1"/>
    <x v="0"/>
    <x v="0"/>
    <n v="1"/>
  </r>
  <r>
    <n v="381"/>
    <n v="1"/>
    <n v="1"/>
    <s v="Bidois, Miss. Rosalie"/>
    <x v="1"/>
    <n v="42"/>
    <n v="0"/>
    <n v="0"/>
    <s v="PC 17757"/>
    <n v="227.52500000000001"/>
    <x v="1"/>
    <x v="1"/>
    <n v="1"/>
    <x v="1"/>
    <x v="2"/>
    <x v="1"/>
    <n v="2"/>
  </r>
  <r>
    <n v="382"/>
    <n v="1"/>
    <n v="3"/>
    <s v="Nakid, Miss. Maria (&quot;Mary&quot;)"/>
    <x v="1"/>
    <n v="1"/>
    <n v="0"/>
    <n v="2"/>
    <s v="2653"/>
    <n v="15.7417"/>
    <x v="1"/>
    <x v="2"/>
    <n v="3"/>
    <x v="0"/>
    <x v="0"/>
    <x v="0"/>
    <n v="2"/>
  </r>
  <r>
    <n v="383"/>
    <n v="0"/>
    <n v="3"/>
    <s v="Tikkanen, Mr. Juho"/>
    <x v="0"/>
    <n v="32"/>
    <n v="0"/>
    <n v="0"/>
    <s v="STON/O 2. 3101293"/>
    <n v="7.9249999999999998"/>
    <x v="0"/>
    <x v="0"/>
    <n v="1"/>
    <x v="1"/>
    <x v="0"/>
    <x v="0"/>
    <n v="1"/>
  </r>
  <r>
    <n v="384"/>
    <n v="1"/>
    <n v="1"/>
    <s v="Holverson, Mrs. Alexander Oskar (Mary Aline Towner)"/>
    <x v="1"/>
    <n v="35"/>
    <n v="1"/>
    <n v="0"/>
    <s v="113789"/>
    <n v="52"/>
    <x v="1"/>
    <x v="1"/>
    <n v="2"/>
    <x v="0"/>
    <x v="1"/>
    <x v="1"/>
    <n v="2"/>
  </r>
  <r>
    <n v="385"/>
    <n v="0"/>
    <n v="3"/>
    <s v="Plotcharsky, Mr. Vasil"/>
    <x v="0"/>
    <n v="26"/>
    <n v="0"/>
    <n v="0"/>
    <s v="349227"/>
    <n v="7.8958000000000004"/>
    <x v="0"/>
    <x v="0"/>
    <n v="1"/>
    <x v="1"/>
    <x v="0"/>
    <x v="0"/>
    <n v="1"/>
  </r>
  <r>
    <n v="386"/>
    <n v="0"/>
    <n v="2"/>
    <s v="Davies, Mr. Charles Henry"/>
    <x v="0"/>
    <n v="18"/>
    <n v="0"/>
    <n v="0"/>
    <s v="S.O.C. 14879"/>
    <n v="73.5"/>
    <x v="0"/>
    <x v="0"/>
    <n v="1"/>
    <x v="1"/>
    <x v="1"/>
    <x v="2"/>
    <n v="1"/>
  </r>
  <r>
    <n v="387"/>
    <n v="0"/>
    <n v="3"/>
    <s v="Goodwin, Master. Sidney Leonard"/>
    <x v="0"/>
    <n v="1"/>
    <n v="5"/>
    <n v="2"/>
    <s v="CA 2144"/>
    <n v="46.9"/>
    <x v="0"/>
    <x v="2"/>
    <n v="8"/>
    <x v="2"/>
    <x v="1"/>
    <x v="0"/>
    <n v="1"/>
  </r>
  <r>
    <n v="388"/>
    <n v="1"/>
    <n v="2"/>
    <s v="Buss, Miss. Kate"/>
    <x v="1"/>
    <n v="36"/>
    <n v="0"/>
    <n v="0"/>
    <s v="27849"/>
    <n v="13"/>
    <x v="1"/>
    <x v="1"/>
    <n v="1"/>
    <x v="1"/>
    <x v="0"/>
    <x v="2"/>
    <n v="2"/>
  </r>
  <r>
    <n v="389"/>
    <n v="0"/>
    <n v="3"/>
    <s v="Sadlier, Mr. Matthew"/>
    <x v="0"/>
    <n v="26"/>
    <n v="0"/>
    <n v="0"/>
    <s v="367655"/>
    <n v="7.7291999999999996"/>
    <x v="0"/>
    <x v="0"/>
    <n v="1"/>
    <x v="1"/>
    <x v="0"/>
    <x v="0"/>
    <n v="1"/>
  </r>
  <r>
    <n v="390"/>
    <n v="1"/>
    <n v="2"/>
    <s v="Lehmann, Miss. Bertha"/>
    <x v="1"/>
    <n v="17"/>
    <n v="0"/>
    <n v="0"/>
    <s v="SC 1748"/>
    <n v="12"/>
    <x v="1"/>
    <x v="2"/>
    <n v="1"/>
    <x v="1"/>
    <x v="0"/>
    <x v="2"/>
    <n v="2"/>
  </r>
  <r>
    <n v="391"/>
    <n v="1"/>
    <n v="1"/>
    <s v="Carter, Mr. William Ernest"/>
    <x v="0"/>
    <n v="36"/>
    <n v="1"/>
    <n v="2"/>
    <s v="113760"/>
    <n v="120"/>
    <x v="1"/>
    <x v="1"/>
    <n v="4"/>
    <x v="0"/>
    <x v="2"/>
    <x v="1"/>
    <n v="1"/>
  </r>
  <r>
    <n v="392"/>
    <n v="1"/>
    <n v="3"/>
    <s v="Jansson, Mr. Carl Olof"/>
    <x v="0"/>
    <n v="21"/>
    <n v="0"/>
    <n v="0"/>
    <s v="350034"/>
    <n v="7.7957999999999998"/>
    <x v="1"/>
    <x v="0"/>
    <n v="1"/>
    <x v="1"/>
    <x v="0"/>
    <x v="0"/>
    <n v="1"/>
  </r>
  <r>
    <n v="393"/>
    <n v="0"/>
    <n v="3"/>
    <s v="Gustafsson, Mr. Johan Birger"/>
    <x v="0"/>
    <n v="28"/>
    <n v="2"/>
    <n v="0"/>
    <s v="3101277"/>
    <n v="7.9249999999999998"/>
    <x v="0"/>
    <x v="0"/>
    <n v="3"/>
    <x v="0"/>
    <x v="0"/>
    <x v="0"/>
    <n v="1"/>
  </r>
  <r>
    <n v="394"/>
    <n v="1"/>
    <n v="1"/>
    <s v="Newell, Miss. Marjorie"/>
    <x v="1"/>
    <n v="23"/>
    <n v="1"/>
    <n v="0"/>
    <s v="35273"/>
    <n v="113.27500000000001"/>
    <x v="1"/>
    <x v="0"/>
    <n v="2"/>
    <x v="0"/>
    <x v="2"/>
    <x v="1"/>
    <n v="2"/>
  </r>
  <r>
    <n v="395"/>
    <n v="1"/>
    <n v="3"/>
    <s v="Sandstrom, Mrs. Hjalmar (Agnes Charlotta Bengtsson)"/>
    <x v="1"/>
    <n v="24"/>
    <n v="0"/>
    <n v="2"/>
    <s v="PP 9549"/>
    <n v="16.7"/>
    <x v="1"/>
    <x v="0"/>
    <n v="3"/>
    <x v="0"/>
    <x v="0"/>
    <x v="0"/>
    <n v="2"/>
  </r>
  <r>
    <n v="396"/>
    <n v="0"/>
    <n v="3"/>
    <s v="Johansson, Mr. Erik"/>
    <x v="0"/>
    <n v="22"/>
    <n v="0"/>
    <n v="0"/>
    <s v="350052"/>
    <n v="7.7957999999999998"/>
    <x v="0"/>
    <x v="0"/>
    <n v="1"/>
    <x v="1"/>
    <x v="0"/>
    <x v="0"/>
    <n v="1"/>
  </r>
  <r>
    <n v="397"/>
    <n v="0"/>
    <n v="3"/>
    <s v="Olsson, Miss. Elina"/>
    <x v="1"/>
    <n v="31"/>
    <n v="0"/>
    <n v="0"/>
    <s v="350407"/>
    <n v="7.8541999999999996"/>
    <x v="0"/>
    <x v="0"/>
    <n v="1"/>
    <x v="1"/>
    <x v="0"/>
    <x v="0"/>
    <n v="2"/>
  </r>
  <r>
    <n v="398"/>
    <n v="0"/>
    <n v="2"/>
    <s v="McKane, Mr. Peter David"/>
    <x v="0"/>
    <n v="46"/>
    <n v="0"/>
    <n v="0"/>
    <s v="28403"/>
    <n v="26"/>
    <x v="0"/>
    <x v="1"/>
    <n v="1"/>
    <x v="1"/>
    <x v="1"/>
    <x v="2"/>
    <n v="1"/>
  </r>
  <r>
    <n v="399"/>
    <n v="0"/>
    <n v="2"/>
    <s v="Pain, Dr. Alfred"/>
    <x v="0"/>
    <n v="23"/>
    <n v="0"/>
    <n v="0"/>
    <s v="244278"/>
    <n v="10.5"/>
    <x v="0"/>
    <x v="0"/>
    <n v="1"/>
    <x v="1"/>
    <x v="0"/>
    <x v="2"/>
    <n v="1"/>
  </r>
  <r>
    <n v="400"/>
    <n v="1"/>
    <n v="2"/>
    <s v="Trout, Mrs. William H (Jessie L)"/>
    <x v="1"/>
    <n v="28"/>
    <n v="0"/>
    <n v="0"/>
    <s v="240929"/>
    <n v="12.65"/>
    <x v="1"/>
    <x v="0"/>
    <n v="1"/>
    <x v="1"/>
    <x v="0"/>
    <x v="2"/>
    <n v="2"/>
  </r>
  <r>
    <n v="401"/>
    <n v="1"/>
    <n v="3"/>
    <s v="Niskanen, Mr. Juha"/>
    <x v="0"/>
    <n v="39"/>
    <n v="0"/>
    <n v="0"/>
    <s v="STON/O 2. 3101289"/>
    <n v="7.9249999999999998"/>
    <x v="1"/>
    <x v="1"/>
    <n v="1"/>
    <x v="1"/>
    <x v="0"/>
    <x v="0"/>
    <n v="1"/>
  </r>
  <r>
    <n v="402"/>
    <n v="0"/>
    <n v="3"/>
    <s v="Adams, Mr. John"/>
    <x v="0"/>
    <n v="26"/>
    <n v="0"/>
    <n v="0"/>
    <s v="341826"/>
    <n v="8.0500000000000007"/>
    <x v="0"/>
    <x v="0"/>
    <n v="1"/>
    <x v="1"/>
    <x v="0"/>
    <x v="0"/>
    <n v="1"/>
  </r>
  <r>
    <n v="403"/>
    <n v="0"/>
    <n v="3"/>
    <s v="Jussila, Miss. Mari Aina"/>
    <x v="1"/>
    <n v="21"/>
    <n v="1"/>
    <n v="0"/>
    <s v="4137"/>
    <n v="9.8249999999999993"/>
    <x v="0"/>
    <x v="0"/>
    <n v="2"/>
    <x v="0"/>
    <x v="0"/>
    <x v="0"/>
    <n v="2"/>
  </r>
  <r>
    <n v="404"/>
    <n v="0"/>
    <n v="3"/>
    <s v="Hakkarainen, Mr. Pekka Pietari"/>
    <x v="0"/>
    <n v="28"/>
    <n v="1"/>
    <n v="0"/>
    <s v="STON/O2. 3101279"/>
    <n v="15.85"/>
    <x v="0"/>
    <x v="0"/>
    <n v="2"/>
    <x v="0"/>
    <x v="0"/>
    <x v="0"/>
    <n v="1"/>
  </r>
  <r>
    <n v="405"/>
    <n v="0"/>
    <n v="3"/>
    <s v="Oreskovic, Miss. Marija"/>
    <x v="1"/>
    <n v="20"/>
    <n v="0"/>
    <n v="0"/>
    <s v="315096"/>
    <n v="8.6624999999999996"/>
    <x v="0"/>
    <x v="0"/>
    <n v="1"/>
    <x v="1"/>
    <x v="0"/>
    <x v="0"/>
    <n v="2"/>
  </r>
  <r>
    <n v="406"/>
    <n v="0"/>
    <n v="2"/>
    <s v="Gale, Mr. Shadrach"/>
    <x v="0"/>
    <n v="34"/>
    <n v="1"/>
    <n v="0"/>
    <s v="28664"/>
    <n v="21"/>
    <x v="0"/>
    <x v="0"/>
    <n v="2"/>
    <x v="0"/>
    <x v="0"/>
    <x v="2"/>
    <n v="1"/>
  </r>
  <r>
    <n v="407"/>
    <n v="0"/>
    <n v="3"/>
    <s v="Widegren, Mr. Carl/Charles Peter"/>
    <x v="0"/>
    <n v="51"/>
    <n v="0"/>
    <n v="0"/>
    <s v="347064"/>
    <n v="7.75"/>
    <x v="0"/>
    <x v="1"/>
    <n v="1"/>
    <x v="1"/>
    <x v="0"/>
    <x v="0"/>
    <n v="1"/>
  </r>
  <r>
    <n v="408"/>
    <n v="1"/>
    <n v="2"/>
    <s v="Richards, Master. William Rowe"/>
    <x v="0"/>
    <n v="3"/>
    <n v="1"/>
    <n v="1"/>
    <s v="29106"/>
    <n v="18.75"/>
    <x v="1"/>
    <x v="2"/>
    <n v="3"/>
    <x v="0"/>
    <x v="0"/>
    <x v="2"/>
    <n v="1"/>
  </r>
  <r>
    <n v="409"/>
    <n v="0"/>
    <n v="3"/>
    <s v="Birkeland, Mr. Hans Martin Monsen"/>
    <x v="0"/>
    <n v="21"/>
    <n v="0"/>
    <n v="0"/>
    <s v="312992"/>
    <n v="7.7750000000000004"/>
    <x v="0"/>
    <x v="0"/>
    <n v="1"/>
    <x v="1"/>
    <x v="0"/>
    <x v="0"/>
    <n v="1"/>
  </r>
  <r>
    <n v="410"/>
    <n v="0"/>
    <n v="3"/>
    <s v="Lefebre, Miss. Ida"/>
    <x v="1"/>
    <n v="26"/>
    <n v="3"/>
    <n v="1"/>
    <s v="4133"/>
    <n v="25.466699999999999"/>
    <x v="0"/>
    <x v="0"/>
    <n v="5"/>
    <x v="2"/>
    <x v="1"/>
    <x v="0"/>
    <n v="2"/>
  </r>
  <r>
    <n v="411"/>
    <n v="0"/>
    <n v="3"/>
    <s v="Sdycoff, Mr. Todor"/>
    <x v="0"/>
    <n v="26"/>
    <n v="0"/>
    <n v="0"/>
    <s v="349222"/>
    <n v="7.8958000000000004"/>
    <x v="0"/>
    <x v="0"/>
    <n v="1"/>
    <x v="1"/>
    <x v="0"/>
    <x v="0"/>
    <n v="1"/>
  </r>
  <r>
    <n v="412"/>
    <n v="0"/>
    <n v="3"/>
    <s v="Hart, Mr. Henry"/>
    <x v="0"/>
    <n v="26"/>
    <n v="0"/>
    <n v="0"/>
    <s v="394140"/>
    <n v="6.8582999999999998"/>
    <x v="0"/>
    <x v="0"/>
    <n v="1"/>
    <x v="1"/>
    <x v="0"/>
    <x v="0"/>
    <n v="1"/>
  </r>
  <r>
    <n v="413"/>
    <n v="1"/>
    <n v="1"/>
    <s v="Minahan, Miss. Daisy E"/>
    <x v="1"/>
    <n v="33"/>
    <n v="1"/>
    <n v="0"/>
    <s v="19928"/>
    <n v="90"/>
    <x v="1"/>
    <x v="0"/>
    <n v="2"/>
    <x v="0"/>
    <x v="1"/>
    <x v="1"/>
    <n v="2"/>
  </r>
  <r>
    <n v="414"/>
    <n v="0"/>
    <n v="2"/>
    <s v="Cunningham, Mr. Alfred Fleming"/>
    <x v="0"/>
    <n v="26"/>
    <n v="0"/>
    <n v="0"/>
    <s v="239853"/>
    <n v="0"/>
    <x v="0"/>
    <x v="0"/>
    <n v="1"/>
    <x v="1"/>
    <x v="0"/>
    <x v="2"/>
    <n v="1"/>
  </r>
  <r>
    <n v="415"/>
    <n v="1"/>
    <n v="3"/>
    <s v="Sundman, Mr. Johan Julian"/>
    <x v="0"/>
    <n v="44"/>
    <n v="0"/>
    <n v="0"/>
    <s v="STON/O 2. 3101269"/>
    <n v="7.9249999999999998"/>
    <x v="1"/>
    <x v="1"/>
    <n v="1"/>
    <x v="1"/>
    <x v="0"/>
    <x v="0"/>
    <n v="1"/>
  </r>
  <r>
    <n v="416"/>
    <n v="0"/>
    <n v="3"/>
    <s v="Meek, Mrs. Thomas (Annie Louise Rowley)"/>
    <x v="1"/>
    <n v="26"/>
    <n v="0"/>
    <n v="0"/>
    <s v="343095"/>
    <n v="8.0500000000000007"/>
    <x v="0"/>
    <x v="0"/>
    <n v="1"/>
    <x v="1"/>
    <x v="0"/>
    <x v="0"/>
    <n v="2"/>
  </r>
  <r>
    <n v="417"/>
    <n v="1"/>
    <n v="2"/>
    <s v="Drew, Mrs. James Vivian (Lulu Thorne Christian)"/>
    <x v="1"/>
    <n v="34"/>
    <n v="1"/>
    <n v="1"/>
    <s v="28220"/>
    <n v="32.5"/>
    <x v="1"/>
    <x v="0"/>
    <n v="3"/>
    <x v="0"/>
    <x v="1"/>
    <x v="2"/>
    <n v="2"/>
  </r>
  <r>
    <n v="418"/>
    <n v="1"/>
    <n v="2"/>
    <s v="Silven, Miss. Lyyli Karoliina"/>
    <x v="1"/>
    <n v="18"/>
    <n v="0"/>
    <n v="2"/>
    <s v="250652"/>
    <n v="13"/>
    <x v="1"/>
    <x v="0"/>
    <n v="3"/>
    <x v="0"/>
    <x v="0"/>
    <x v="2"/>
    <n v="2"/>
  </r>
  <r>
    <n v="419"/>
    <n v="0"/>
    <n v="2"/>
    <s v="Matthews, Mr. William John"/>
    <x v="0"/>
    <n v="30"/>
    <n v="0"/>
    <n v="0"/>
    <s v="28228"/>
    <n v="13"/>
    <x v="0"/>
    <x v="0"/>
    <n v="1"/>
    <x v="1"/>
    <x v="0"/>
    <x v="2"/>
    <n v="1"/>
  </r>
  <r>
    <n v="420"/>
    <n v="0"/>
    <n v="3"/>
    <s v="Van Impe, Miss. Catharina"/>
    <x v="1"/>
    <n v="10"/>
    <n v="0"/>
    <n v="2"/>
    <s v="345773"/>
    <n v="24.15"/>
    <x v="0"/>
    <x v="2"/>
    <n v="3"/>
    <x v="0"/>
    <x v="0"/>
    <x v="0"/>
    <n v="2"/>
  </r>
  <r>
    <n v="421"/>
    <n v="0"/>
    <n v="3"/>
    <s v="Gheorgheff, Mr. Stanio"/>
    <x v="0"/>
    <n v="26"/>
    <n v="0"/>
    <n v="0"/>
    <s v="349254"/>
    <n v="7.8958000000000004"/>
    <x v="0"/>
    <x v="0"/>
    <n v="1"/>
    <x v="1"/>
    <x v="0"/>
    <x v="0"/>
    <n v="1"/>
  </r>
  <r>
    <n v="422"/>
    <n v="0"/>
    <n v="3"/>
    <s v="Charters, Mr. David"/>
    <x v="0"/>
    <n v="21"/>
    <n v="0"/>
    <n v="0"/>
    <s v="A/5. 13032"/>
    <n v="7.7332999999999998"/>
    <x v="0"/>
    <x v="0"/>
    <n v="1"/>
    <x v="1"/>
    <x v="0"/>
    <x v="0"/>
    <n v="1"/>
  </r>
  <r>
    <n v="423"/>
    <n v="0"/>
    <n v="3"/>
    <s v="Zimmerman, Mr. Leo"/>
    <x v="0"/>
    <n v="29"/>
    <n v="0"/>
    <n v="0"/>
    <s v="315082"/>
    <n v="7.875"/>
    <x v="0"/>
    <x v="0"/>
    <n v="1"/>
    <x v="1"/>
    <x v="0"/>
    <x v="0"/>
    <n v="1"/>
  </r>
  <r>
    <n v="424"/>
    <n v="0"/>
    <n v="3"/>
    <s v="Danbom, Mrs. Ernst Gilbert (Anna Sigrid Maria Brogren)"/>
    <x v="1"/>
    <n v="28"/>
    <n v="1"/>
    <n v="1"/>
    <s v="347080"/>
    <n v="14.4"/>
    <x v="0"/>
    <x v="0"/>
    <n v="3"/>
    <x v="0"/>
    <x v="0"/>
    <x v="0"/>
    <n v="2"/>
  </r>
  <r>
    <n v="425"/>
    <n v="0"/>
    <n v="3"/>
    <s v="Rosblom, Mr. Viktor Richard"/>
    <x v="0"/>
    <n v="18"/>
    <n v="1"/>
    <n v="1"/>
    <s v="370129"/>
    <n v="20.212499999999999"/>
    <x v="0"/>
    <x v="0"/>
    <n v="3"/>
    <x v="0"/>
    <x v="0"/>
    <x v="0"/>
    <n v="1"/>
  </r>
  <r>
    <n v="426"/>
    <n v="0"/>
    <n v="3"/>
    <s v="Wiseman, Mr. Phillippe"/>
    <x v="0"/>
    <n v="26"/>
    <n v="0"/>
    <n v="0"/>
    <s v="A/4. 34244"/>
    <n v="7.25"/>
    <x v="0"/>
    <x v="0"/>
    <n v="1"/>
    <x v="1"/>
    <x v="0"/>
    <x v="0"/>
    <n v="1"/>
  </r>
  <r>
    <n v="427"/>
    <n v="1"/>
    <n v="2"/>
    <s v="Clarke, Mrs. Charles V (Ada Maria Winfield)"/>
    <x v="1"/>
    <n v="28"/>
    <n v="1"/>
    <n v="0"/>
    <s v="2003"/>
    <n v="26"/>
    <x v="1"/>
    <x v="0"/>
    <n v="2"/>
    <x v="0"/>
    <x v="1"/>
    <x v="2"/>
    <n v="2"/>
  </r>
  <r>
    <n v="428"/>
    <n v="1"/>
    <n v="2"/>
    <s v="Phillips, Miss. Kate Florence (&quot;Mrs Kate Louise Phillips Marshall&quot;)"/>
    <x v="1"/>
    <n v="19"/>
    <n v="0"/>
    <n v="0"/>
    <s v="250655"/>
    <n v="26"/>
    <x v="1"/>
    <x v="0"/>
    <n v="1"/>
    <x v="1"/>
    <x v="1"/>
    <x v="2"/>
    <n v="2"/>
  </r>
  <r>
    <n v="429"/>
    <n v="0"/>
    <n v="3"/>
    <s v="Flynn, Mr. James"/>
    <x v="0"/>
    <n v="26"/>
    <n v="0"/>
    <n v="0"/>
    <s v="364851"/>
    <n v="7.75"/>
    <x v="0"/>
    <x v="0"/>
    <n v="1"/>
    <x v="1"/>
    <x v="0"/>
    <x v="0"/>
    <n v="1"/>
  </r>
  <r>
    <n v="430"/>
    <n v="1"/>
    <n v="3"/>
    <s v="Pickard, Mr. Berk (Berk Trembisky)"/>
    <x v="0"/>
    <n v="32"/>
    <n v="0"/>
    <n v="0"/>
    <s v="SOTON/O.Q. 392078"/>
    <n v="8.0500000000000007"/>
    <x v="1"/>
    <x v="0"/>
    <n v="1"/>
    <x v="1"/>
    <x v="0"/>
    <x v="0"/>
    <n v="1"/>
  </r>
  <r>
    <n v="431"/>
    <n v="1"/>
    <n v="1"/>
    <s v="Bjornstrom-Steffansson, Mr. Mauritz Hakan"/>
    <x v="0"/>
    <n v="28"/>
    <n v="0"/>
    <n v="0"/>
    <s v="110564"/>
    <n v="26.55"/>
    <x v="1"/>
    <x v="0"/>
    <n v="1"/>
    <x v="1"/>
    <x v="1"/>
    <x v="1"/>
    <n v="1"/>
  </r>
  <r>
    <n v="432"/>
    <n v="1"/>
    <n v="3"/>
    <s v="Thorneycroft, Mrs. Percival (Florence Kate White)"/>
    <x v="1"/>
    <n v="26"/>
    <n v="1"/>
    <n v="0"/>
    <s v="376564"/>
    <n v="16.100000000000001"/>
    <x v="1"/>
    <x v="0"/>
    <n v="2"/>
    <x v="0"/>
    <x v="0"/>
    <x v="0"/>
    <n v="2"/>
  </r>
  <r>
    <n v="433"/>
    <n v="1"/>
    <n v="2"/>
    <s v="Louch, Mrs. Charles Alexander (Alice Adelaide Slow)"/>
    <x v="1"/>
    <n v="42"/>
    <n v="1"/>
    <n v="0"/>
    <s v="SC/AH 3085"/>
    <n v="26"/>
    <x v="1"/>
    <x v="1"/>
    <n v="2"/>
    <x v="0"/>
    <x v="1"/>
    <x v="2"/>
    <n v="2"/>
  </r>
  <r>
    <n v="434"/>
    <n v="0"/>
    <n v="3"/>
    <s v="Kallio, Mr. Nikolai Erland"/>
    <x v="0"/>
    <n v="17"/>
    <n v="0"/>
    <n v="0"/>
    <s v="STON/O 2. 3101274"/>
    <n v="7.125"/>
    <x v="0"/>
    <x v="2"/>
    <n v="1"/>
    <x v="1"/>
    <x v="0"/>
    <x v="0"/>
    <n v="1"/>
  </r>
  <r>
    <n v="435"/>
    <n v="0"/>
    <n v="1"/>
    <s v="Silvey, Mr. William Baird"/>
    <x v="0"/>
    <n v="50"/>
    <n v="1"/>
    <n v="0"/>
    <s v="13507"/>
    <n v="55.9"/>
    <x v="0"/>
    <x v="1"/>
    <n v="2"/>
    <x v="0"/>
    <x v="1"/>
    <x v="1"/>
    <n v="1"/>
  </r>
  <r>
    <n v="436"/>
    <n v="1"/>
    <n v="1"/>
    <s v="Carter, Miss. Lucile Polk"/>
    <x v="1"/>
    <n v="14"/>
    <n v="1"/>
    <n v="2"/>
    <s v="113760"/>
    <n v="120"/>
    <x v="1"/>
    <x v="2"/>
    <n v="4"/>
    <x v="0"/>
    <x v="2"/>
    <x v="1"/>
    <n v="2"/>
  </r>
  <r>
    <n v="437"/>
    <n v="0"/>
    <n v="3"/>
    <s v="Ford, Miss. Doolina Margaret &quot;Daisy&quot;"/>
    <x v="1"/>
    <n v="21"/>
    <n v="2"/>
    <n v="2"/>
    <s v="W./C. 6608"/>
    <n v="34.375"/>
    <x v="0"/>
    <x v="0"/>
    <n v="5"/>
    <x v="2"/>
    <x v="1"/>
    <x v="0"/>
    <n v="2"/>
  </r>
  <r>
    <n v="438"/>
    <n v="1"/>
    <n v="2"/>
    <s v="Richards, Mrs. Sidney (Emily Hocking)"/>
    <x v="1"/>
    <n v="24"/>
    <n v="2"/>
    <n v="3"/>
    <s v="29106"/>
    <n v="18.75"/>
    <x v="1"/>
    <x v="0"/>
    <n v="6"/>
    <x v="2"/>
    <x v="0"/>
    <x v="2"/>
    <n v="2"/>
  </r>
  <r>
    <n v="439"/>
    <n v="0"/>
    <n v="1"/>
    <s v="Fortune, Mr. Mark"/>
    <x v="0"/>
    <n v="64"/>
    <n v="1"/>
    <n v="4"/>
    <s v="19950"/>
    <n v="263"/>
    <x v="0"/>
    <x v="3"/>
    <n v="6"/>
    <x v="2"/>
    <x v="2"/>
    <x v="1"/>
    <n v="1"/>
  </r>
  <r>
    <n v="440"/>
    <n v="0"/>
    <n v="2"/>
    <s v="Kvillner, Mr. Johan Henrik Johannesson"/>
    <x v="0"/>
    <n v="31"/>
    <n v="0"/>
    <n v="0"/>
    <s v="C.A. 18723"/>
    <n v="10.5"/>
    <x v="0"/>
    <x v="0"/>
    <n v="1"/>
    <x v="1"/>
    <x v="0"/>
    <x v="2"/>
    <n v="1"/>
  </r>
  <r>
    <n v="441"/>
    <n v="1"/>
    <n v="2"/>
    <s v="Hart, Mrs. Benjamin (Esther Ada Bloomfield)"/>
    <x v="1"/>
    <n v="45"/>
    <n v="1"/>
    <n v="1"/>
    <s v="F.C.C. 13529"/>
    <n v="26.25"/>
    <x v="1"/>
    <x v="1"/>
    <n v="3"/>
    <x v="0"/>
    <x v="1"/>
    <x v="2"/>
    <n v="2"/>
  </r>
  <r>
    <n v="442"/>
    <n v="0"/>
    <n v="3"/>
    <s v="Hampe, Mr. Leon"/>
    <x v="0"/>
    <n v="20"/>
    <n v="0"/>
    <n v="0"/>
    <s v="345769"/>
    <n v="9.5"/>
    <x v="0"/>
    <x v="0"/>
    <n v="1"/>
    <x v="1"/>
    <x v="0"/>
    <x v="0"/>
    <n v="1"/>
  </r>
  <r>
    <n v="443"/>
    <n v="0"/>
    <n v="3"/>
    <s v="Petterson, Mr. Johan Emil"/>
    <x v="0"/>
    <n v="25"/>
    <n v="1"/>
    <n v="0"/>
    <s v="347076"/>
    <n v="7.7750000000000004"/>
    <x v="0"/>
    <x v="0"/>
    <n v="2"/>
    <x v="0"/>
    <x v="0"/>
    <x v="0"/>
    <n v="1"/>
  </r>
  <r>
    <n v="444"/>
    <n v="1"/>
    <n v="2"/>
    <s v="Reynaldo, Ms. Encarnacion"/>
    <x v="1"/>
    <n v="28"/>
    <n v="0"/>
    <n v="0"/>
    <s v="230434"/>
    <n v="13"/>
    <x v="1"/>
    <x v="0"/>
    <n v="1"/>
    <x v="1"/>
    <x v="0"/>
    <x v="2"/>
    <n v="2"/>
  </r>
  <r>
    <n v="445"/>
    <n v="1"/>
    <n v="3"/>
    <s v="Johannesen-Bratthammer, Mr. Bernt"/>
    <x v="0"/>
    <n v="26"/>
    <n v="0"/>
    <n v="0"/>
    <s v="65306"/>
    <n v="8.1125000000000007"/>
    <x v="1"/>
    <x v="0"/>
    <n v="1"/>
    <x v="1"/>
    <x v="0"/>
    <x v="0"/>
    <n v="1"/>
  </r>
  <r>
    <n v="446"/>
    <n v="1"/>
    <n v="1"/>
    <s v="Dodge, Master. Washington"/>
    <x v="0"/>
    <n v="4"/>
    <n v="0"/>
    <n v="2"/>
    <s v="33638"/>
    <n v="81.8583"/>
    <x v="1"/>
    <x v="2"/>
    <n v="3"/>
    <x v="0"/>
    <x v="1"/>
    <x v="1"/>
    <n v="1"/>
  </r>
  <r>
    <n v="447"/>
    <n v="1"/>
    <n v="2"/>
    <s v="Mellinger, Miss. Madeleine Violet"/>
    <x v="1"/>
    <n v="13"/>
    <n v="0"/>
    <n v="1"/>
    <s v="250644"/>
    <n v="19.5"/>
    <x v="1"/>
    <x v="2"/>
    <n v="2"/>
    <x v="0"/>
    <x v="0"/>
    <x v="2"/>
    <n v="2"/>
  </r>
  <r>
    <n v="448"/>
    <n v="1"/>
    <n v="1"/>
    <s v="Seward, Mr. Frederic Kimber"/>
    <x v="0"/>
    <n v="34"/>
    <n v="0"/>
    <n v="0"/>
    <s v="113794"/>
    <n v="26.55"/>
    <x v="1"/>
    <x v="0"/>
    <n v="1"/>
    <x v="1"/>
    <x v="1"/>
    <x v="1"/>
    <n v="1"/>
  </r>
  <r>
    <n v="449"/>
    <n v="1"/>
    <n v="3"/>
    <s v="Baclini, Miss. Marie Catherine"/>
    <x v="1"/>
    <n v="5"/>
    <n v="2"/>
    <n v="1"/>
    <s v="2666"/>
    <n v="19.258299999999998"/>
    <x v="1"/>
    <x v="2"/>
    <n v="4"/>
    <x v="0"/>
    <x v="0"/>
    <x v="0"/>
    <n v="2"/>
  </r>
  <r>
    <n v="450"/>
    <n v="1"/>
    <n v="1"/>
    <s v="Peuchen, Major. Arthur Godfrey"/>
    <x v="0"/>
    <n v="52"/>
    <n v="0"/>
    <n v="0"/>
    <s v="113786"/>
    <n v="30.5"/>
    <x v="1"/>
    <x v="1"/>
    <n v="1"/>
    <x v="1"/>
    <x v="1"/>
    <x v="1"/>
    <n v="1"/>
  </r>
  <r>
    <n v="451"/>
    <n v="0"/>
    <n v="2"/>
    <s v="West, Mr. Edwy Arthur"/>
    <x v="0"/>
    <n v="36"/>
    <n v="1"/>
    <n v="2"/>
    <s v="C.A. 34651"/>
    <n v="27.75"/>
    <x v="0"/>
    <x v="1"/>
    <n v="4"/>
    <x v="0"/>
    <x v="1"/>
    <x v="2"/>
    <n v="1"/>
  </r>
  <r>
    <n v="452"/>
    <n v="0"/>
    <n v="3"/>
    <s v="Hagland, Mr. Ingvald Olai Olsen"/>
    <x v="0"/>
    <n v="26"/>
    <n v="1"/>
    <n v="0"/>
    <s v="65303"/>
    <n v="19.966699999999999"/>
    <x v="0"/>
    <x v="0"/>
    <n v="2"/>
    <x v="0"/>
    <x v="0"/>
    <x v="0"/>
    <n v="1"/>
  </r>
  <r>
    <n v="453"/>
    <n v="0"/>
    <n v="1"/>
    <s v="Foreman, Mr. Benjamin Laventall"/>
    <x v="0"/>
    <n v="30"/>
    <n v="0"/>
    <n v="0"/>
    <s v="113051"/>
    <n v="27.75"/>
    <x v="0"/>
    <x v="0"/>
    <n v="1"/>
    <x v="1"/>
    <x v="1"/>
    <x v="1"/>
    <n v="1"/>
  </r>
  <r>
    <n v="454"/>
    <n v="1"/>
    <n v="1"/>
    <s v="Goldenberg, Mr. Samuel L"/>
    <x v="0"/>
    <n v="49"/>
    <n v="1"/>
    <n v="0"/>
    <s v="17453"/>
    <n v="89.104200000000006"/>
    <x v="1"/>
    <x v="1"/>
    <n v="2"/>
    <x v="0"/>
    <x v="1"/>
    <x v="1"/>
    <n v="1"/>
  </r>
  <r>
    <n v="455"/>
    <n v="0"/>
    <n v="3"/>
    <s v="Peduzzi, Mr. Joseph"/>
    <x v="0"/>
    <n v="26"/>
    <n v="0"/>
    <n v="0"/>
    <s v="A/5 2817"/>
    <n v="8.0500000000000007"/>
    <x v="0"/>
    <x v="0"/>
    <n v="1"/>
    <x v="1"/>
    <x v="0"/>
    <x v="0"/>
    <n v="1"/>
  </r>
  <r>
    <n v="456"/>
    <n v="1"/>
    <n v="3"/>
    <s v="Jalsevac, Mr. Ivan"/>
    <x v="0"/>
    <n v="29"/>
    <n v="0"/>
    <n v="0"/>
    <s v="349240"/>
    <n v="7.8958000000000004"/>
    <x v="1"/>
    <x v="0"/>
    <n v="1"/>
    <x v="1"/>
    <x v="0"/>
    <x v="0"/>
    <n v="1"/>
  </r>
  <r>
    <n v="457"/>
    <n v="0"/>
    <n v="1"/>
    <s v="Millet, Mr. Francis Davis"/>
    <x v="0"/>
    <n v="65"/>
    <n v="0"/>
    <n v="0"/>
    <s v="13509"/>
    <n v="26.55"/>
    <x v="0"/>
    <x v="3"/>
    <n v="1"/>
    <x v="1"/>
    <x v="1"/>
    <x v="1"/>
    <n v="1"/>
  </r>
  <r>
    <n v="458"/>
    <n v="1"/>
    <n v="1"/>
    <s v="Kenyon, Mrs. Frederick R (Marion)"/>
    <x v="1"/>
    <n v="26"/>
    <n v="1"/>
    <n v="0"/>
    <s v="17464"/>
    <n v="51.862499999999997"/>
    <x v="1"/>
    <x v="0"/>
    <n v="2"/>
    <x v="0"/>
    <x v="1"/>
    <x v="1"/>
    <n v="2"/>
  </r>
  <r>
    <n v="459"/>
    <n v="1"/>
    <n v="2"/>
    <s v="Toomey, Miss. Ellen"/>
    <x v="1"/>
    <n v="50"/>
    <n v="0"/>
    <n v="0"/>
    <s v="F.C.C. 13531"/>
    <n v="10.5"/>
    <x v="1"/>
    <x v="1"/>
    <n v="1"/>
    <x v="1"/>
    <x v="0"/>
    <x v="2"/>
    <n v="2"/>
  </r>
  <r>
    <n v="460"/>
    <n v="0"/>
    <n v="3"/>
    <s v="O'Connor, Mr. Maurice"/>
    <x v="0"/>
    <n v="26"/>
    <n v="0"/>
    <n v="0"/>
    <s v="371060"/>
    <n v="7.75"/>
    <x v="0"/>
    <x v="0"/>
    <n v="1"/>
    <x v="1"/>
    <x v="0"/>
    <x v="0"/>
    <n v="1"/>
  </r>
  <r>
    <n v="461"/>
    <n v="1"/>
    <n v="1"/>
    <s v="Anderson, Mr. Harry"/>
    <x v="0"/>
    <n v="48"/>
    <n v="0"/>
    <n v="0"/>
    <s v="19952"/>
    <n v="26.55"/>
    <x v="1"/>
    <x v="1"/>
    <n v="1"/>
    <x v="1"/>
    <x v="1"/>
    <x v="1"/>
    <n v="1"/>
  </r>
  <r>
    <n v="462"/>
    <n v="0"/>
    <n v="3"/>
    <s v="Morley, Mr. William"/>
    <x v="0"/>
    <n v="34"/>
    <n v="0"/>
    <n v="0"/>
    <s v="364506"/>
    <n v="8.0500000000000007"/>
    <x v="0"/>
    <x v="0"/>
    <n v="1"/>
    <x v="1"/>
    <x v="0"/>
    <x v="0"/>
    <n v="1"/>
  </r>
  <r>
    <n v="463"/>
    <n v="0"/>
    <n v="1"/>
    <s v="Gee, Mr. Arthur H"/>
    <x v="0"/>
    <n v="47"/>
    <n v="0"/>
    <n v="0"/>
    <s v="111320"/>
    <n v="38.5"/>
    <x v="0"/>
    <x v="1"/>
    <n v="1"/>
    <x v="1"/>
    <x v="1"/>
    <x v="1"/>
    <n v="1"/>
  </r>
  <r>
    <n v="464"/>
    <n v="0"/>
    <n v="2"/>
    <s v="Milling, Mr. Jacob Christian"/>
    <x v="0"/>
    <n v="48"/>
    <n v="0"/>
    <n v="0"/>
    <s v="234360"/>
    <n v="13"/>
    <x v="0"/>
    <x v="1"/>
    <n v="1"/>
    <x v="1"/>
    <x v="0"/>
    <x v="2"/>
    <n v="1"/>
  </r>
  <r>
    <n v="465"/>
    <n v="0"/>
    <n v="3"/>
    <s v="Maisner, Mr. Simon"/>
    <x v="0"/>
    <n v="26"/>
    <n v="0"/>
    <n v="0"/>
    <s v="A/S 2816"/>
    <n v="8.0500000000000007"/>
    <x v="0"/>
    <x v="0"/>
    <n v="1"/>
    <x v="1"/>
    <x v="0"/>
    <x v="0"/>
    <n v="1"/>
  </r>
  <r>
    <n v="466"/>
    <n v="0"/>
    <n v="3"/>
    <s v="Goncalves, Mr. Manuel Estanslas"/>
    <x v="0"/>
    <n v="38"/>
    <n v="0"/>
    <n v="0"/>
    <s v="SOTON/O.Q. 3101306"/>
    <n v="7.05"/>
    <x v="0"/>
    <x v="1"/>
    <n v="1"/>
    <x v="1"/>
    <x v="0"/>
    <x v="0"/>
    <n v="1"/>
  </r>
  <r>
    <n v="467"/>
    <n v="0"/>
    <n v="2"/>
    <s v="Campbell, Mr. William"/>
    <x v="0"/>
    <n v="26"/>
    <n v="0"/>
    <n v="0"/>
    <s v="239853"/>
    <n v="0"/>
    <x v="0"/>
    <x v="0"/>
    <n v="1"/>
    <x v="1"/>
    <x v="0"/>
    <x v="2"/>
    <n v="1"/>
  </r>
  <r>
    <n v="468"/>
    <n v="0"/>
    <n v="1"/>
    <s v="Smart, Mr. John Montgomery"/>
    <x v="0"/>
    <n v="56"/>
    <n v="0"/>
    <n v="0"/>
    <s v="113792"/>
    <n v="26.55"/>
    <x v="0"/>
    <x v="1"/>
    <n v="1"/>
    <x v="1"/>
    <x v="1"/>
    <x v="1"/>
    <n v="1"/>
  </r>
  <r>
    <n v="469"/>
    <n v="0"/>
    <n v="3"/>
    <s v="Scanlan, Mr. James"/>
    <x v="0"/>
    <n v="26"/>
    <n v="0"/>
    <n v="0"/>
    <s v="36209"/>
    <n v="7.7249999999999996"/>
    <x v="0"/>
    <x v="0"/>
    <n v="1"/>
    <x v="1"/>
    <x v="0"/>
    <x v="0"/>
    <n v="1"/>
  </r>
  <r>
    <n v="470"/>
    <n v="1"/>
    <n v="3"/>
    <s v="Baclini, Miss. Helene Barbara"/>
    <x v="1"/>
    <n v="0.75"/>
    <n v="2"/>
    <n v="1"/>
    <s v="2666"/>
    <n v="19.258299999999998"/>
    <x v="1"/>
    <x v="2"/>
    <n v="4"/>
    <x v="0"/>
    <x v="0"/>
    <x v="0"/>
    <n v="2"/>
  </r>
  <r>
    <n v="471"/>
    <n v="0"/>
    <n v="3"/>
    <s v="Keefe, Mr. Arthur"/>
    <x v="0"/>
    <n v="26"/>
    <n v="0"/>
    <n v="0"/>
    <s v="323592"/>
    <n v="7.25"/>
    <x v="0"/>
    <x v="0"/>
    <n v="1"/>
    <x v="1"/>
    <x v="0"/>
    <x v="0"/>
    <n v="1"/>
  </r>
  <r>
    <n v="472"/>
    <n v="0"/>
    <n v="3"/>
    <s v="Cacic, Mr. Luka"/>
    <x v="0"/>
    <n v="38"/>
    <n v="0"/>
    <n v="0"/>
    <s v="315089"/>
    <n v="8.6624999999999996"/>
    <x v="0"/>
    <x v="1"/>
    <n v="1"/>
    <x v="1"/>
    <x v="0"/>
    <x v="0"/>
    <n v="1"/>
  </r>
  <r>
    <n v="473"/>
    <n v="1"/>
    <n v="2"/>
    <s v="West, Mrs. Edwy Arthur (Ada Mary Worth)"/>
    <x v="1"/>
    <n v="33"/>
    <n v="1"/>
    <n v="2"/>
    <s v="C.A. 34651"/>
    <n v="27.75"/>
    <x v="1"/>
    <x v="0"/>
    <n v="4"/>
    <x v="0"/>
    <x v="1"/>
    <x v="2"/>
    <n v="2"/>
  </r>
  <r>
    <n v="474"/>
    <n v="1"/>
    <n v="2"/>
    <s v="Jerwan, Mrs. Amin S (Marie Marthe Thuillard)"/>
    <x v="1"/>
    <n v="23"/>
    <n v="0"/>
    <n v="0"/>
    <s v="SC/AH Basle 541"/>
    <n v="13.791700000000001"/>
    <x v="1"/>
    <x v="0"/>
    <n v="1"/>
    <x v="1"/>
    <x v="0"/>
    <x v="2"/>
    <n v="2"/>
  </r>
  <r>
    <n v="475"/>
    <n v="0"/>
    <n v="3"/>
    <s v="Strandberg, Miss. Ida Sofia"/>
    <x v="1"/>
    <n v="22"/>
    <n v="0"/>
    <n v="0"/>
    <s v="7553"/>
    <n v="9.8375000000000004"/>
    <x v="0"/>
    <x v="0"/>
    <n v="1"/>
    <x v="1"/>
    <x v="0"/>
    <x v="0"/>
    <n v="2"/>
  </r>
  <r>
    <n v="476"/>
    <n v="0"/>
    <n v="1"/>
    <s v="Clifford, Mr. George Quincy"/>
    <x v="0"/>
    <n v="26"/>
    <n v="0"/>
    <n v="0"/>
    <s v="110465"/>
    <n v="52"/>
    <x v="0"/>
    <x v="0"/>
    <n v="1"/>
    <x v="1"/>
    <x v="1"/>
    <x v="1"/>
    <n v="1"/>
  </r>
  <r>
    <n v="477"/>
    <n v="0"/>
    <n v="2"/>
    <s v="Renouf, Mr. Peter Henry"/>
    <x v="0"/>
    <n v="34"/>
    <n v="1"/>
    <n v="0"/>
    <s v="31027"/>
    <n v="21"/>
    <x v="0"/>
    <x v="0"/>
    <n v="2"/>
    <x v="0"/>
    <x v="0"/>
    <x v="2"/>
    <n v="1"/>
  </r>
  <r>
    <n v="478"/>
    <n v="0"/>
    <n v="3"/>
    <s v="Braund, Mr. Lewis Richard"/>
    <x v="0"/>
    <n v="29"/>
    <n v="1"/>
    <n v="0"/>
    <s v="3460"/>
    <n v="7.0457999999999998"/>
    <x v="0"/>
    <x v="0"/>
    <n v="2"/>
    <x v="0"/>
    <x v="0"/>
    <x v="0"/>
    <n v="1"/>
  </r>
  <r>
    <n v="479"/>
    <n v="0"/>
    <n v="3"/>
    <s v="Karlsson, Mr. Nils August"/>
    <x v="0"/>
    <n v="22"/>
    <n v="0"/>
    <n v="0"/>
    <s v="350060"/>
    <n v="7.5208000000000004"/>
    <x v="0"/>
    <x v="0"/>
    <n v="1"/>
    <x v="1"/>
    <x v="0"/>
    <x v="0"/>
    <n v="1"/>
  </r>
  <r>
    <n v="480"/>
    <n v="1"/>
    <n v="3"/>
    <s v="Hirvonen, Miss. Hildur E"/>
    <x v="1"/>
    <n v="2"/>
    <n v="0"/>
    <n v="1"/>
    <s v="3101298"/>
    <n v="12.2875"/>
    <x v="1"/>
    <x v="2"/>
    <n v="2"/>
    <x v="0"/>
    <x v="0"/>
    <x v="0"/>
    <n v="2"/>
  </r>
  <r>
    <n v="481"/>
    <n v="0"/>
    <n v="3"/>
    <s v="Goodwin, Master. Harold Victor"/>
    <x v="0"/>
    <n v="9"/>
    <n v="5"/>
    <n v="2"/>
    <s v="CA 2144"/>
    <n v="46.9"/>
    <x v="0"/>
    <x v="2"/>
    <n v="8"/>
    <x v="2"/>
    <x v="1"/>
    <x v="0"/>
    <n v="1"/>
  </r>
  <r>
    <n v="482"/>
    <n v="0"/>
    <n v="2"/>
    <s v="Frost, Mr. Anthony Wood &quot;Archie&quot;"/>
    <x v="0"/>
    <n v="26"/>
    <n v="0"/>
    <n v="0"/>
    <s v="239854"/>
    <n v="0"/>
    <x v="0"/>
    <x v="0"/>
    <n v="1"/>
    <x v="1"/>
    <x v="0"/>
    <x v="2"/>
    <n v="1"/>
  </r>
  <r>
    <n v="483"/>
    <n v="0"/>
    <n v="3"/>
    <s v="Rouse, Mr. Richard Henry"/>
    <x v="0"/>
    <n v="50"/>
    <n v="0"/>
    <n v="0"/>
    <s v="A/5 3594"/>
    <n v="8.0500000000000007"/>
    <x v="0"/>
    <x v="1"/>
    <n v="1"/>
    <x v="1"/>
    <x v="0"/>
    <x v="0"/>
    <n v="1"/>
  </r>
  <r>
    <n v="484"/>
    <n v="1"/>
    <n v="3"/>
    <s v="Turkula, Mrs. (Hedwig)"/>
    <x v="1"/>
    <n v="63"/>
    <n v="0"/>
    <n v="0"/>
    <s v="4134"/>
    <n v="9.5875000000000004"/>
    <x v="1"/>
    <x v="3"/>
    <n v="1"/>
    <x v="1"/>
    <x v="0"/>
    <x v="0"/>
    <n v="2"/>
  </r>
  <r>
    <n v="485"/>
    <n v="1"/>
    <n v="1"/>
    <s v="Bishop, Mr. Dickinson H"/>
    <x v="0"/>
    <n v="25"/>
    <n v="1"/>
    <n v="0"/>
    <s v="11967"/>
    <n v="91.0792"/>
    <x v="1"/>
    <x v="0"/>
    <n v="2"/>
    <x v="0"/>
    <x v="1"/>
    <x v="1"/>
    <n v="1"/>
  </r>
  <r>
    <n v="486"/>
    <n v="0"/>
    <n v="3"/>
    <s v="Lefebre, Miss. Jeannie"/>
    <x v="1"/>
    <n v="26"/>
    <n v="3"/>
    <n v="1"/>
    <s v="4133"/>
    <n v="25.466699999999999"/>
    <x v="0"/>
    <x v="0"/>
    <n v="5"/>
    <x v="2"/>
    <x v="1"/>
    <x v="0"/>
    <n v="2"/>
  </r>
  <r>
    <n v="487"/>
    <n v="1"/>
    <n v="1"/>
    <s v="Hoyt, Mrs. Frederick Maxfield (Jane Anne Forby)"/>
    <x v="1"/>
    <n v="35"/>
    <n v="1"/>
    <n v="0"/>
    <s v="19943"/>
    <n v="90"/>
    <x v="1"/>
    <x v="1"/>
    <n v="2"/>
    <x v="0"/>
    <x v="1"/>
    <x v="1"/>
    <n v="2"/>
  </r>
  <r>
    <n v="488"/>
    <n v="0"/>
    <n v="1"/>
    <s v="Kent, Mr. Edward Austin"/>
    <x v="0"/>
    <n v="58"/>
    <n v="0"/>
    <n v="0"/>
    <s v="11771"/>
    <n v="29.7"/>
    <x v="0"/>
    <x v="1"/>
    <n v="1"/>
    <x v="1"/>
    <x v="1"/>
    <x v="1"/>
    <n v="1"/>
  </r>
  <r>
    <n v="489"/>
    <n v="0"/>
    <n v="3"/>
    <s v="Somerton, Mr. Francis William"/>
    <x v="0"/>
    <n v="30"/>
    <n v="0"/>
    <n v="0"/>
    <s v="A.5. 18509"/>
    <n v="8.0500000000000007"/>
    <x v="0"/>
    <x v="0"/>
    <n v="1"/>
    <x v="1"/>
    <x v="0"/>
    <x v="0"/>
    <n v="1"/>
  </r>
  <r>
    <n v="490"/>
    <n v="1"/>
    <n v="3"/>
    <s v="Coutts, Master. Eden Leslie &quot;Neville&quot;"/>
    <x v="0"/>
    <n v="9"/>
    <n v="1"/>
    <n v="1"/>
    <s v="C.A. 37671"/>
    <n v="15.9"/>
    <x v="1"/>
    <x v="2"/>
    <n v="3"/>
    <x v="0"/>
    <x v="0"/>
    <x v="0"/>
    <n v="1"/>
  </r>
  <r>
    <n v="491"/>
    <n v="0"/>
    <n v="3"/>
    <s v="Hagland, Mr. Konrad Mathias Reiersen"/>
    <x v="0"/>
    <n v="26"/>
    <n v="1"/>
    <n v="0"/>
    <s v="65304"/>
    <n v="19.966699999999999"/>
    <x v="0"/>
    <x v="0"/>
    <n v="2"/>
    <x v="0"/>
    <x v="0"/>
    <x v="0"/>
    <n v="1"/>
  </r>
  <r>
    <n v="492"/>
    <n v="0"/>
    <n v="3"/>
    <s v="Windelov, Mr. Einar"/>
    <x v="0"/>
    <n v="21"/>
    <n v="0"/>
    <n v="0"/>
    <s v="SOTON/OQ 3101317"/>
    <n v="7.25"/>
    <x v="0"/>
    <x v="0"/>
    <n v="1"/>
    <x v="1"/>
    <x v="0"/>
    <x v="0"/>
    <n v="1"/>
  </r>
  <r>
    <n v="493"/>
    <n v="0"/>
    <n v="1"/>
    <s v="Molson, Mr. Harry Markland"/>
    <x v="0"/>
    <n v="55"/>
    <n v="0"/>
    <n v="0"/>
    <s v="113787"/>
    <n v="30.5"/>
    <x v="0"/>
    <x v="1"/>
    <n v="1"/>
    <x v="1"/>
    <x v="1"/>
    <x v="1"/>
    <n v="1"/>
  </r>
  <r>
    <n v="494"/>
    <n v="0"/>
    <n v="1"/>
    <s v="Artagaveytia, Mr. Ramon"/>
    <x v="0"/>
    <n v="71"/>
    <n v="0"/>
    <n v="0"/>
    <s v="PC 17609"/>
    <n v="49.504199999999997"/>
    <x v="0"/>
    <x v="3"/>
    <n v="1"/>
    <x v="1"/>
    <x v="1"/>
    <x v="1"/>
    <n v="1"/>
  </r>
  <r>
    <n v="495"/>
    <n v="0"/>
    <n v="3"/>
    <s v="Stanley, Mr. Edward Roland"/>
    <x v="0"/>
    <n v="21"/>
    <n v="0"/>
    <n v="0"/>
    <s v="A/4 45380"/>
    <n v="8.0500000000000007"/>
    <x v="0"/>
    <x v="0"/>
    <n v="1"/>
    <x v="1"/>
    <x v="0"/>
    <x v="0"/>
    <n v="1"/>
  </r>
  <r>
    <n v="496"/>
    <n v="0"/>
    <n v="3"/>
    <s v="Yousseff, Mr. Gerious"/>
    <x v="0"/>
    <n v="26"/>
    <n v="0"/>
    <n v="0"/>
    <s v="2627"/>
    <n v="14.458299999999999"/>
    <x v="0"/>
    <x v="0"/>
    <n v="1"/>
    <x v="1"/>
    <x v="0"/>
    <x v="0"/>
    <n v="1"/>
  </r>
  <r>
    <n v="497"/>
    <n v="1"/>
    <n v="1"/>
    <s v="Eustis, Miss. Elizabeth Mussey"/>
    <x v="1"/>
    <n v="54"/>
    <n v="1"/>
    <n v="0"/>
    <s v="36947"/>
    <n v="78.2667"/>
    <x v="1"/>
    <x v="1"/>
    <n v="2"/>
    <x v="0"/>
    <x v="1"/>
    <x v="1"/>
    <n v="2"/>
  </r>
  <r>
    <n v="498"/>
    <n v="0"/>
    <n v="3"/>
    <s v="Shellard, Mr. Frederick William"/>
    <x v="0"/>
    <n v="26"/>
    <n v="0"/>
    <n v="0"/>
    <s v="C.A. 6212"/>
    <n v="15.1"/>
    <x v="0"/>
    <x v="0"/>
    <n v="1"/>
    <x v="1"/>
    <x v="0"/>
    <x v="0"/>
    <n v="1"/>
  </r>
  <r>
    <n v="499"/>
    <n v="0"/>
    <n v="1"/>
    <s v="Allison, Mrs. Hudson J C (Bessie Waldo Daniels)"/>
    <x v="1"/>
    <n v="25"/>
    <n v="1"/>
    <n v="2"/>
    <s v="113781"/>
    <n v="151.55000000000001"/>
    <x v="0"/>
    <x v="0"/>
    <n v="4"/>
    <x v="0"/>
    <x v="2"/>
    <x v="1"/>
    <n v="2"/>
  </r>
  <r>
    <n v="500"/>
    <n v="0"/>
    <n v="3"/>
    <s v="Svensson, Mr. Olof"/>
    <x v="0"/>
    <n v="24"/>
    <n v="0"/>
    <n v="0"/>
    <s v="350035"/>
    <n v="7.7957999999999998"/>
    <x v="0"/>
    <x v="0"/>
    <n v="1"/>
    <x v="1"/>
    <x v="0"/>
    <x v="0"/>
    <n v="1"/>
  </r>
  <r>
    <n v="501"/>
    <n v="0"/>
    <n v="3"/>
    <s v="Calic, Mr. Petar"/>
    <x v="0"/>
    <n v="17"/>
    <n v="0"/>
    <n v="0"/>
    <s v="315086"/>
    <n v="8.6624999999999996"/>
    <x v="0"/>
    <x v="2"/>
    <n v="1"/>
    <x v="1"/>
    <x v="0"/>
    <x v="0"/>
    <n v="1"/>
  </r>
  <r>
    <n v="502"/>
    <n v="0"/>
    <n v="3"/>
    <s v="Canavan, Miss. Mary"/>
    <x v="1"/>
    <n v="21"/>
    <n v="0"/>
    <n v="0"/>
    <s v="364846"/>
    <n v="7.75"/>
    <x v="0"/>
    <x v="0"/>
    <n v="1"/>
    <x v="1"/>
    <x v="0"/>
    <x v="0"/>
    <n v="2"/>
  </r>
  <r>
    <n v="503"/>
    <n v="0"/>
    <n v="3"/>
    <s v="O'Sullivan, Miss. Bridget Mary"/>
    <x v="1"/>
    <n v="26"/>
    <n v="0"/>
    <n v="0"/>
    <s v="330909"/>
    <n v="7.6292"/>
    <x v="0"/>
    <x v="0"/>
    <n v="1"/>
    <x v="1"/>
    <x v="0"/>
    <x v="0"/>
    <n v="2"/>
  </r>
  <r>
    <n v="504"/>
    <n v="0"/>
    <n v="3"/>
    <s v="Laitinen, Miss. Kristina Sofia"/>
    <x v="1"/>
    <n v="37"/>
    <n v="0"/>
    <n v="0"/>
    <s v="4135"/>
    <n v="9.5875000000000004"/>
    <x v="0"/>
    <x v="1"/>
    <n v="1"/>
    <x v="1"/>
    <x v="0"/>
    <x v="0"/>
    <n v="2"/>
  </r>
  <r>
    <n v="505"/>
    <n v="1"/>
    <n v="1"/>
    <s v="Maioni, Miss. Roberta"/>
    <x v="1"/>
    <n v="16"/>
    <n v="0"/>
    <n v="0"/>
    <s v="110152"/>
    <n v="86.5"/>
    <x v="1"/>
    <x v="2"/>
    <n v="1"/>
    <x v="1"/>
    <x v="1"/>
    <x v="1"/>
    <n v="2"/>
  </r>
  <r>
    <n v="506"/>
    <n v="0"/>
    <n v="1"/>
    <s v="Penasco y Castellana, Mr. Victor de Satode"/>
    <x v="0"/>
    <n v="18"/>
    <n v="1"/>
    <n v="0"/>
    <s v="PC 17758"/>
    <n v="108.9"/>
    <x v="0"/>
    <x v="0"/>
    <n v="2"/>
    <x v="0"/>
    <x v="2"/>
    <x v="1"/>
    <n v="1"/>
  </r>
  <r>
    <n v="507"/>
    <n v="1"/>
    <n v="2"/>
    <s v="Quick, Mrs. Frederick Charles (Jane Richards)"/>
    <x v="1"/>
    <n v="33"/>
    <n v="0"/>
    <n v="2"/>
    <s v="26360"/>
    <n v="26"/>
    <x v="1"/>
    <x v="0"/>
    <n v="3"/>
    <x v="0"/>
    <x v="1"/>
    <x v="2"/>
    <n v="2"/>
  </r>
  <r>
    <n v="508"/>
    <n v="1"/>
    <n v="1"/>
    <s v="Bradley, Mr. George (&quot;George Arthur Brayton&quot;)"/>
    <x v="0"/>
    <n v="26"/>
    <n v="0"/>
    <n v="0"/>
    <s v="111427"/>
    <n v="26.55"/>
    <x v="1"/>
    <x v="0"/>
    <n v="1"/>
    <x v="1"/>
    <x v="1"/>
    <x v="1"/>
    <n v="1"/>
  </r>
  <r>
    <n v="509"/>
    <n v="0"/>
    <n v="3"/>
    <s v="Olsen, Mr. Henry Margido"/>
    <x v="0"/>
    <n v="28"/>
    <n v="0"/>
    <n v="0"/>
    <s v="C 4001"/>
    <n v="22.524999999999999"/>
    <x v="0"/>
    <x v="0"/>
    <n v="1"/>
    <x v="1"/>
    <x v="0"/>
    <x v="0"/>
    <n v="1"/>
  </r>
  <r>
    <n v="510"/>
    <n v="1"/>
    <n v="3"/>
    <s v="Lang, Mr. Fang"/>
    <x v="0"/>
    <n v="26"/>
    <n v="0"/>
    <n v="0"/>
    <s v="1601"/>
    <n v="56.495800000000003"/>
    <x v="1"/>
    <x v="0"/>
    <n v="1"/>
    <x v="1"/>
    <x v="1"/>
    <x v="0"/>
    <n v="1"/>
  </r>
  <r>
    <n v="511"/>
    <n v="1"/>
    <n v="3"/>
    <s v="Daly, Mr. Eugene Patrick"/>
    <x v="0"/>
    <n v="29"/>
    <n v="0"/>
    <n v="0"/>
    <s v="382651"/>
    <n v="7.75"/>
    <x v="1"/>
    <x v="0"/>
    <n v="1"/>
    <x v="1"/>
    <x v="0"/>
    <x v="0"/>
    <n v="1"/>
  </r>
  <r>
    <n v="512"/>
    <n v="0"/>
    <n v="3"/>
    <s v="Webber, Mr. James"/>
    <x v="0"/>
    <n v="26"/>
    <n v="0"/>
    <n v="0"/>
    <s v="SOTON/OQ 3101316"/>
    <n v="8.0500000000000007"/>
    <x v="0"/>
    <x v="0"/>
    <n v="1"/>
    <x v="1"/>
    <x v="0"/>
    <x v="0"/>
    <n v="1"/>
  </r>
  <r>
    <n v="513"/>
    <n v="1"/>
    <n v="1"/>
    <s v="McGough, Mr. James Robert"/>
    <x v="0"/>
    <n v="36"/>
    <n v="0"/>
    <n v="0"/>
    <s v="PC 17473"/>
    <n v="26.287500000000001"/>
    <x v="1"/>
    <x v="1"/>
    <n v="1"/>
    <x v="1"/>
    <x v="1"/>
    <x v="1"/>
    <n v="1"/>
  </r>
  <r>
    <n v="514"/>
    <n v="1"/>
    <n v="1"/>
    <s v="Rothschild, Mrs. Martin (Elizabeth L. Barrett)"/>
    <x v="1"/>
    <n v="54"/>
    <n v="1"/>
    <n v="0"/>
    <s v="PC 17603"/>
    <n v="59.4"/>
    <x v="1"/>
    <x v="1"/>
    <n v="2"/>
    <x v="0"/>
    <x v="1"/>
    <x v="1"/>
    <n v="2"/>
  </r>
  <r>
    <n v="515"/>
    <n v="0"/>
    <n v="3"/>
    <s v="Coleff, Mr. Satio"/>
    <x v="0"/>
    <n v="24"/>
    <n v="0"/>
    <n v="0"/>
    <s v="349209"/>
    <n v="7.4958"/>
    <x v="0"/>
    <x v="0"/>
    <n v="1"/>
    <x v="1"/>
    <x v="0"/>
    <x v="0"/>
    <n v="1"/>
  </r>
  <r>
    <n v="516"/>
    <n v="0"/>
    <n v="1"/>
    <s v="Walker, Mr. William Anderson"/>
    <x v="0"/>
    <n v="47"/>
    <n v="0"/>
    <n v="0"/>
    <s v="36967"/>
    <n v="34.020800000000001"/>
    <x v="0"/>
    <x v="1"/>
    <n v="1"/>
    <x v="1"/>
    <x v="1"/>
    <x v="1"/>
    <n v="1"/>
  </r>
  <r>
    <n v="517"/>
    <n v="1"/>
    <n v="2"/>
    <s v="Lemore, Mrs. (Amelia Milley)"/>
    <x v="1"/>
    <n v="34"/>
    <n v="0"/>
    <n v="0"/>
    <s v="C.A. 34260"/>
    <n v="10.5"/>
    <x v="1"/>
    <x v="0"/>
    <n v="1"/>
    <x v="1"/>
    <x v="0"/>
    <x v="2"/>
    <n v="2"/>
  </r>
  <r>
    <n v="518"/>
    <n v="0"/>
    <n v="3"/>
    <s v="Ryan, Mr. Patrick"/>
    <x v="0"/>
    <n v="26"/>
    <n v="0"/>
    <n v="0"/>
    <s v="371110"/>
    <n v="24.15"/>
    <x v="0"/>
    <x v="0"/>
    <n v="1"/>
    <x v="1"/>
    <x v="0"/>
    <x v="0"/>
    <n v="1"/>
  </r>
  <r>
    <n v="519"/>
    <n v="1"/>
    <n v="2"/>
    <s v="Angle, Mrs. William A (Florence &quot;Mary&quot; Agnes Hughes)"/>
    <x v="1"/>
    <n v="36"/>
    <n v="1"/>
    <n v="0"/>
    <s v="226875"/>
    <n v="26"/>
    <x v="1"/>
    <x v="1"/>
    <n v="2"/>
    <x v="0"/>
    <x v="1"/>
    <x v="2"/>
    <n v="2"/>
  </r>
  <r>
    <n v="520"/>
    <n v="0"/>
    <n v="3"/>
    <s v="Pavlovic, Mr. Stefo"/>
    <x v="0"/>
    <n v="32"/>
    <n v="0"/>
    <n v="0"/>
    <s v="349242"/>
    <n v="7.8958000000000004"/>
    <x v="0"/>
    <x v="0"/>
    <n v="1"/>
    <x v="1"/>
    <x v="0"/>
    <x v="0"/>
    <n v="1"/>
  </r>
  <r>
    <n v="521"/>
    <n v="1"/>
    <n v="1"/>
    <s v="Perreault, Miss. Anne"/>
    <x v="1"/>
    <n v="30"/>
    <n v="0"/>
    <n v="0"/>
    <s v="12749"/>
    <n v="93.5"/>
    <x v="1"/>
    <x v="0"/>
    <n v="1"/>
    <x v="1"/>
    <x v="1"/>
    <x v="1"/>
    <n v="2"/>
  </r>
  <r>
    <n v="522"/>
    <n v="0"/>
    <n v="3"/>
    <s v="Vovk, Mr. Janko"/>
    <x v="0"/>
    <n v="22"/>
    <n v="0"/>
    <n v="0"/>
    <s v="349252"/>
    <n v="7.8958000000000004"/>
    <x v="0"/>
    <x v="0"/>
    <n v="1"/>
    <x v="1"/>
    <x v="0"/>
    <x v="0"/>
    <n v="1"/>
  </r>
  <r>
    <n v="523"/>
    <n v="0"/>
    <n v="3"/>
    <s v="Lahoud, Mr. Sarkis"/>
    <x v="0"/>
    <n v="26"/>
    <n v="0"/>
    <n v="0"/>
    <s v="2624"/>
    <n v="7.2249999999999996"/>
    <x v="0"/>
    <x v="0"/>
    <n v="1"/>
    <x v="1"/>
    <x v="0"/>
    <x v="0"/>
    <n v="1"/>
  </r>
  <r>
    <n v="524"/>
    <n v="1"/>
    <n v="1"/>
    <s v="Hippach, Mrs. Louis Albert (Ida Sophia Fischer)"/>
    <x v="1"/>
    <n v="44"/>
    <n v="0"/>
    <n v="1"/>
    <s v="111361"/>
    <n v="57.979199999999999"/>
    <x v="1"/>
    <x v="1"/>
    <n v="2"/>
    <x v="0"/>
    <x v="1"/>
    <x v="1"/>
    <n v="2"/>
  </r>
  <r>
    <n v="525"/>
    <n v="0"/>
    <n v="3"/>
    <s v="Kassem, Mr. Fared"/>
    <x v="0"/>
    <n v="26"/>
    <n v="0"/>
    <n v="0"/>
    <s v="2700"/>
    <n v="7.2291999999999996"/>
    <x v="0"/>
    <x v="0"/>
    <n v="1"/>
    <x v="1"/>
    <x v="0"/>
    <x v="0"/>
    <n v="1"/>
  </r>
  <r>
    <n v="526"/>
    <n v="0"/>
    <n v="3"/>
    <s v="Farrell, Mr. James"/>
    <x v="0"/>
    <n v="40.5"/>
    <n v="0"/>
    <n v="0"/>
    <s v="367232"/>
    <n v="7.75"/>
    <x v="0"/>
    <x v="1"/>
    <n v="1"/>
    <x v="1"/>
    <x v="0"/>
    <x v="0"/>
    <n v="1"/>
  </r>
  <r>
    <n v="527"/>
    <n v="1"/>
    <n v="2"/>
    <s v="Ridsdale, Miss. Lucy"/>
    <x v="1"/>
    <n v="50"/>
    <n v="0"/>
    <n v="0"/>
    <s v="W./C. 14258"/>
    <n v="10.5"/>
    <x v="1"/>
    <x v="1"/>
    <n v="1"/>
    <x v="1"/>
    <x v="0"/>
    <x v="2"/>
    <n v="2"/>
  </r>
  <r>
    <n v="528"/>
    <n v="0"/>
    <n v="1"/>
    <s v="Farthing, Mr. John"/>
    <x v="0"/>
    <n v="26"/>
    <n v="0"/>
    <n v="0"/>
    <s v="PC 17483"/>
    <n v="221.7792"/>
    <x v="0"/>
    <x v="0"/>
    <n v="1"/>
    <x v="1"/>
    <x v="2"/>
    <x v="1"/>
    <n v="1"/>
  </r>
  <r>
    <n v="529"/>
    <n v="0"/>
    <n v="3"/>
    <s v="Salonen, Mr. Johan Werner"/>
    <x v="0"/>
    <n v="39"/>
    <n v="0"/>
    <n v="0"/>
    <s v="3101296"/>
    <n v="7.9249999999999998"/>
    <x v="0"/>
    <x v="1"/>
    <n v="1"/>
    <x v="1"/>
    <x v="0"/>
    <x v="0"/>
    <n v="1"/>
  </r>
  <r>
    <n v="530"/>
    <n v="0"/>
    <n v="2"/>
    <s v="Hocking, Mr. Richard George"/>
    <x v="0"/>
    <n v="23"/>
    <n v="2"/>
    <n v="1"/>
    <s v="29104"/>
    <n v="11.5"/>
    <x v="0"/>
    <x v="0"/>
    <n v="4"/>
    <x v="0"/>
    <x v="0"/>
    <x v="2"/>
    <n v="1"/>
  </r>
  <r>
    <n v="531"/>
    <n v="1"/>
    <n v="2"/>
    <s v="Quick, Miss. Phyllis May"/>
    <x v="1"/>
    <n v="2"/>
    <n v="1"/>
    <n v="1"/>
    <s v="26360"/>
    <n v="26"/>
    <x v="1"/>
    <x v="2"/>
    <n v="3"/>
    <x v="0"/>
    <x v="1"/>
    <x v="2"/>
    <n v="2"/>
  </r>
  <r>
    <n v="532"/>
    <n v="0"/>
    <n v="3"/>
    <s v="Toufik, Mr. Nakli"/>
    <x v="0"/>
    <n v="26"/>
    <n v="0"/>
    <n v="0"/>
    <s v="2641"/>
    <n v="7.2291999999999996"/>
    <x v="0"/>
    <x v="0"/>
    <n v="1"/>
    <x v="1"/>
    <x v="0"/>
    <x v="0"/>
    <n v="1"/>
  </r>
  <r>
    <n v="533"/>
    <n v="0"/>
    <n v="3"/>
    <s v="Elias, Mr. Joseph Jr"/>
    <x v="0"/>
    <n v="17"/>
    <n v="1"/>
    <n v="1"/>
    <s v="2690"/>
    <n v="7.2291999999999996"/>
    <x v="0"/>
    <x v="2"/>
    <n v="3"/>
    <x v="0"/>
    <x v="0"/>
    <x v="0"/>
    <n v="1"/>
  </r>
  <r>
    <n v="534"/>
    <n v="1"/>
    <n v="3"/>
    <s v="Peter, Mrs. Catherine (Catherine Rizk)"/>
    <x v="1"/>
    <n v="26"/>
    <n v="0"/>
    <n v="2"/>
    <s v="2668"/>
    <n v="22.3583"/>
    <x v="1"/>
    <x v="0"/>
    <n v="3"/>
    <x v="0"/>
    <x v="0"/>
    <x v="0"/>
    <n v="2"/>
  </r>
  <r>
    <n v="535"/>
    <n v="0"/>
    <n v="3"/>
    <s v="Cacic, Miss. Marija"/>
    <x v="1"/>
    <n v="30"/>
    <n v="0"/>
    <n v="0"/>
    <s v="315084"/>
    <n v="8.6624999999999996"/>
    <x v="0"/>
    <x v="0"/>
    <n v="1"/>
    <x v="1"/>
    <x v="0"/>
    <x v="0"/>
    <n v="2"/>
  </r>
  <r>
    <n v="536"/>
    <n v="1"/>
    <n v="2"/>
    <s v="Hart, Miss. Eva Miriam"/>
    <x v="1"/>
    <n v="7"/>
    <n v="0"/>
    <n v="2"/>
    <s v="F.C.C. 13529"/>
    <n v="26.25"/>
    <x v="1"/>
    <x v="2"/>
    <n v="3"/>
    <x v="0"/>
    <x v="1"/>
    <x v="2"/>
    <n v="2"/>
  </r>
  <r>
    <n v="537"/>
    <n v="0"/>
    <n v="1"/>
    <s v="Butt, Major. Archibald Willingham"/>
    <x v="0"/>
    <n v="45"/>
    <n v="0"/>
    <n v="0"/>
    <s v="113050"/>
    <n v="26.55"/>
    <x v="0"/>
    <x v="1"/>
    <n v="1"/>
    <x v="1"/>
    <x v="1"/>
    <x v="1"/>
    <n v="1"/>
  </r>
  <r>
    <n v="538"/>
    <n v="1"/>
    <n v="1"/>
    <s v="LeRoy, Miss. Bertha"/>
    <x v="1"/>
    <n v="30"/>
    <n v="0"/>
    <n v="0"/>
    <s v="PC 17761"/>
    <n v="106.425"/>
    <x v="1"/>
    <x v="0"/>
    <n v="1"/>
    <x v="1"/>
    <x v="2"/>
    <x v="1"/>
    <n v="2"/>
  </r>
  <r>
    <n v="539"/>
    <n v="0"/>
    <n v="3"/>
    <s v="Risien, Mr. Samuel Beard"/>
    <x v="0"/>
    <n v="26"/>
    <n v="0"/>
    <n v="0"/>
    <s v="364498"/>
    <n v="14.5"/>
    <x v="0"/>
    <x v="0"/>
    <n v="1"/>
    <x v="1"/>
    <x v="0"/>
    <x v="0"/>
    <n v="1"/>
  </r>
  <r>
    <n v="540"/>
    <n v="1"/>
    <n v="1"/>
    <s v="Frolicher, Miss. Hedwig Margaritha"/>
    <x v="1"/>
    <n v="22"/>
    <n v="0"/>
    <n v="2"/>
    <s v="13568"/>
    <n v="49.5"/>
    <x v="1"/>
    <x v="0"/>
    <n v="3"/>
    <x v="0"/>
    <x v="1"/>
    <x v="1"/>
    <n v="2"/>
  </r>
  <r>
    <n v="541"/>
    <n v="1"/>
    <n v="1"/>
    <s v="Crosby, Miss. Harriet R"/>
    <x v="1"/>
    <n v="36"/>
    <n v="0"/>
    <n v="2"/>
    <s v="WE/P 5735"/>
    <n v="71"/>
    <x v="1"/>
    <x v="1"/>
    <n v="3"/>
    <x v="0"/>
    <x v="1"/>
    <x v="1"/>
    <n v="2"/>
  </r>
  <r>
    <n v="542"/>
    <n v="0"/>
    <n v="3"/>
    <s v="Andersson, Miss. Ingeborg Constanzia"/>
    <x v="1"/>
    <n v="9"/>
    <n v="4"/>
    <n v="2"/>
    <s v="347082"/>
    <n v="31.274999999999999"/>
    <x v="0"/>
    <x v="2"/>
    <n v="7"/>
    <x v="2"/>
    <x v="1"/>
    <x v="0"/>
    <n v="2"/>
  </r>
  <r>
    <n v="543"/>
    <n v="0"/>
    <n v="3"/>
    <s v="Andersson, Miss. Sigrid Elisabeth"/>
    <x v="1"/>
    <n v="11"/>
    <n v="4"/>
    <n v="2"/>
    <s v="347082"/>
    <n v="31.274999999999999"/>
    <x v="0"/>
    <x v="2"/>
    <n v="7"/>
    <x v="2"/>
    <x v="1"/>
    <x v="0"/>
    <n v="2"/>
  </r>
  <r>
    <n v="544"/>
    <n v="1"/>
    <n v="2"/>
    <s v="Beane, Mr. Edward"/>
    <x v="0"/>
    <n v="32"/>
    <n v="1"/>
    <n v="0"/>
    <s v="2908"/>
    <n v="26"/>
    <x v="1"/>
    <x v="0"/>
    <n v="2"/>
    <x v="0"/>
    <x v="1"/>
    <x v="2"/>
    <n v="1"/>
  </r>
  <r>
    <n v="545"/>
    <n v="0"/>
    <n v="1"/>
    <s v="Douglas, Mr. Walter Donald"/>
    <x v="0"/>
    <n v="50"/>
    <n v="1"/>
    <n v="0"/>
    <s v="PC 17761"/>
    <n v="106.425"/>
    <x v="0"/>
    <x v="1"/>
    <n v="2"/>
    <x v="0"/>
    <x v="2"/>
    <x v="1"/>
    <n v="1"/>
  </r>
  <r>
    <n v="546"/>
    <n v="0"/>
    <n v="1"/>
    <s v="Nicholson, Mr. Arthur Ernest"/>
    <x v="0"/>
    <n v="64"/>
    <n v="0"/>
    <n v="0"/>
    <s v="693"/>
    <n v="26"/>
    <x v="0"/>
    <x v="3"/>
    <n v="1"/>
    <x v="1"/>
    <x v="1"/>
    <x v="1"/>
    <n v="1"/>
  </r>
  <r>
    <n v="547"/>
    <n v="1"/>
    <n v="2"/>
    <s v="Beane, Mrs. Edward (Ethel Clarke)"/>
    <x v="1"/>
    <n v="19"/>
    <n v="1"/>
    <n v="0"/>
    <s v="2908"/>
    <n v="26"/>
    <x v="1"/>
    <x v="0"/>
    <n v="2"/>
    <x v="0"/>
    <x v="1"/>
    <x v="2"/>
    <n v="2"/>
  </r>
  <r>
    <n v="548"/>
    <n v="1"/>
    <n v="2"/>
    <s v="Padro y Manent, Mr. Julian"/>
    <x v="0"/>
    <n v="26"/>
    <n v="0"/>
    <n v="0"/>
    <s v="SC/PARIS 2146"/>
    <n v="13.862500000000001"/>
    <x v="1"/>
    <x v="0"/>
    <n v="1"/>
    <x v="1"/>
    <x v="0"/>
    <x v="2"/>
    <n v="1"/>
  </r>
  <r>
    <n v="549"/>
    <n v="0"/>
    <n v="3"/>
    <s v="Goldsmith, Mr. Frank John"/>
    <x v="0"/>
    <n v="33"/>
    <n v="1"/>
    <n v="1"/>
    <s v="363291"/>
    <n v="20.524999999999999"/>
    <x v="0"/>
    <x v="0"/>
    <n v="3"/>
    <x v="0"/>
    <x v="0"/>
    <x v="0"/>
    <n v="1"/>
  </r>
  <r>
    <n v="550"/>
    <n v="1"/>
    <n v="2"/>
    <s v="Davies, Master. John Morgan Jr"/>
    <x v="0"/>
    <n v="8"/>
    <n v="1"/>
    <n v="1"/>
    <s v="C.A. 33112"/>
    <n v="36.75"/>
    <x v="1"/>
    <x v="2"/>
    <n v="3"/>
    <x v="0"/>
    <x v="1"/>
    <x v="2"/>
    <n v="1"/>
  </r>
  <r>
    <n v="551"/>
    <n v="1"/>
    <n v="1"/>
    <s v="Thayer, Mr. John Borland Jr"/>
    <x v="0"/>
    <n v="17"/>
    <n v="0"/>
    <n v="2"/>
    <s v="17421"/>
    <n v="110.88330000000001"/>
    <x v="1"/>
    <x v="2"/>
    <n v="3"/>
    <x v="0"/>
    <x v="2"/>
    <x v="1"/>
    <n v="1"/>
  </r>
  <r>
    <n v="552"/>
    <n v="0"/>
    <n v="2"/>
    <s v="Sharp, Mr. Percival James R"/>
    <x v="0"/>
    <n v="27"/>
    <n v="0"/>
    <n v="0"/>
    <s v="244358"/>
    <n v="26"/>
    <x v="0"/>
    <x v="0"/>
    <n v="1"/>
    <x v="1"/>
    <x v="1"/>
    <x v="2"/>
    <n v="1"/>
  </r>
  <r>
    <n v="553"/>
    <n v="0"/>
    <n v="3"/>
    <s v="O'Brien, Mr. Timothy"/>
    <x v="0"/>
    <n v="26"/>
    <n v="0"/>
    <n v="0"/>
    <s v="330979"/>
    <n v="7.8292000000000002"/>
    <x v="0"/>
    <x v="0"/>
    <n v="1"/>
    <x v="1"/>
    <x v="0"/>
    <x v="0"/>
    <n v="1"/>
  </r>
  <r>
    <n v="554"/>
    <n v="1"/>
    <n v="3"/>
    <s v="Leeni, Mr. Fahim (&quot;Philip Zenni&quot;)"/>
    <x v="0"/>
    <n v="22"/>
    <n v="0"/>
    <n v="0"/>
    <s v="2620"/>
    <n v="7.2249999999999996"/>
    <x v="1"/>
    <x v="0"/>
    <n v="1"/>
    <x v="1"/>
    <x v="0"/>
    <x v="0"/>
    <n v="1"/>
  </r>
  <r>
    <n v="555"/>
    <n v="1"/>
    <n v="3"/>
    <s v="Ohman, Miss. Velin"/>
    <x v="1"/>
    <n v="22"/>
    <n v="0"/>
    <n v="0"/>
    <s v="347085"/>
    <n v="7.7750000000000004"/>
    <x v="1"/>
    <x v="0"/>
    <n v="1"/>
    <x v="1"/>
    <x v="0"/>
    <x v="0"/>
    <n v="2"/>
  </r>
  <r>
    <n v="556"/>
    <n v="0"/>
    <n v="1"/>
    <s v="Wright, Mr. George"/>
    <x v="0"/>
    <n v="62"/>
    <n v="0"/>
    <n v="0"/>
    <s v="113807"/>
    <n v="26.55"/>
    <x v="0"/>
    <x v="3"/>
    <n v="1"/>
    <x v="1"/>
    <x v="1"/>
    <x v="1"/>
    <n v="1"/>
  </r>
  <r>
    <n v="557"/>
    <n v="1"/>
    <n v="1"/>
    <s v="Duff Gordon, Lady. (Lucille Christiana Sutherland) (&quot;Mrs Morgan&quot;)"/>
    <x v="1"/>
    <n v="48"/>
    <n v="1"/>
    <n v="0"/>
    <s v="11755"/>
    <n v="39.6"/>
    <x v="1"/>
    <x v="1"/>
    <n v="2"/>
    <x v="0"/>
    <x v="1"/>
    <x v="1"/>
    <n v="2"/>
  </r>
  <r>
    <n v="558"/>
    <n v="0"/>
    <n v="1"/>
    <s v="Robbins, Mr. Victor"/>
    <x v="0"/>
    <n v="26"/>
    <n v="0"/>
    <n v="0"/>
    <s v="PC 17757"/>
    <n v="227.52500000000001"/>
    <x v="0"/>
    <x v="0"/>
    <n v="1"/>
    <x v="1"/>
    <x v="2"/>
    <x v="1"/>
    <n v="1"/>
  </r>
  <r>
    <n v="559"/>
    <n v="1"/>
    <n v="1"/>
    <s v="Taussig, Mrs. Emil (Tillie Mandelbaum)"/>
    <x v="1"/>
    <n v="39"/>
    <n v="1"/>
    <n v="1"/>
    <s v="110413"/>
    <n v="79.650000000000006"/>
    <x v="1"/>
    <x v="1"/>
    <n v="3"/>
    <x v="0"/>
    <x v="1"/>
    <x v="1"/>
    <n v="2"/>
  </r>
  <r>
    <n v="560"/>
    <n v="1"/>
    <n v="3"/>
    <s v="de Messemaeker, Mrs. Guillaume Joseph (Emma)"/>
    <x v="1"/>
    <n v="36"/>
    <n v="1"/>
    <n v="0"/>
    <s v="345572"/>
    <n v="17.399999999999999"/>
    <x v="1"/>
    <x v="1"/>
    <n v="2"/>
    <x v="0"/>
    <x v="0"/>
    <x v="0"/>
    <n v="2"/>
  </r>
  <r>
    <n v="561"/>
    <n v="0"/>
    <n v="3"/>
    <s v="Morrow, Mr. Thomas Rowan"/>
    <x v="0"/>
    <n v="26"/>
    <n v="0"/>
    <n v="0"/>
    <s v="372622"/>
    <n v="7.75"/>
    <x v="0"/>
    <x v="0"/>
    <n v="1"/>
    <x v="1"/>
    <x v="0"/>
    <x v="0"/>
    <n v="1"/>
  </r>
  <r>
    <n v="562"/>
    <n v="0"/>
    <n v="3"/>
    <s v="Sivic, Mr. Husein"/>
    <x v="0"/>
    <n v="40"/>
    <n v="0"/>
    <n v="0"/>
    <s v="349251"/>
    <n v="7.8958000000000004"/>
    <x v="0"/>
    <x v="1"/>
    <n v="1"/>
    <x v="1"/>
    <x v="0"/>
    <x v="0"/>
    <n v="1"/>
  </r>
  <r>
    <n v="563"/>
    <n v="0"/>
    <n v="2"/>
    <s v="Norman, Mr. Robert Douglas"/>
    <x v="0"/>
    <n v="28"/>
    <n v="0"/>
    <n v="0"/>
    <s v="218629"/>
    <n v="13.5"/>
    <x v="0"/>
    <x v="0"/>
    <n v="1"/>
    <x v="1"/>
    <x v="0"/>
    <x v="2"/>
    <n v="1"/>
  </r>
  <r>
    <n v="564"/>
    <n v="0"/>
    <n v="3"/>
    <s v="Simmons, Mr. John"/>
    <x v="0"/>
    <n v="26"/>
    <n v="0"/>
    <n v="0"/>
    <s v="SOTON/OQ 392082"/>
    <n v="8.0500000000000007"/>
    <x v="0"/>
    <x v="0"/>
    <n v="1"/>
    <x v="1"/>
    <x v="0"/>
    <x v="0"/>
    <n v="1"/>
  </r>
  <r>
    <n v="565"/>
    <n v="0"/>
    <n v="3"/>
    <s v="Meanwell, Miss. (Marion Ogden)"/>
    <x v="1"/>
    <n v="26"/>
    <n v="0"/>
    <n v="0"/>
    <s v="SOTON/O.Q. 392087"/>
    <n v="8.0500000000000007"/>
    <x v="0"/>
    <x v="0"/>
    <n v="1"/>
    <x v="1"/>
    <x v="0"/>
    <x v="0"/>
    <n v="2"/>
  </r>
  <r>
    <n v="566"/>
    <n v="0"/>
    <n v="3"/>
    <s v="Davies, Mr. Alfred J"/>
    <x v="0"/>
    <n v="24"/>
    <n v="2"/>
    <n v="0"/>
    <s v="A/4 48871"/>
    <n v="24.15"/>
    <x v="0"/>
    <x v="0"/>
    <n v="3"/>
    <x v="0"/>
    <x v="0"/>
    <x v="0"/>
    <n v="1"/>
  </r>
  <r>
    <n v="567"/>
    <n v="0"/>
    <n v="3"/>
    <s v="Stoytcheff, Mr. Ilia"/>
    <x v="0"/>
    <n v="19"/>
    <n v="0"/>
    <n v="0"/>
    <s v="349205"/>
    <n v="7.8958000000000004"/>
    <x v="0"/>
    <x v="0"/>
    <n v="1"/>
    <x v="1"/>
    <x v="0"/>
    <x v="0"/>
    <n v="1"/>
  </r>
  <r>
    <n v="568"/>
    <n v="0"/>
    <n v="3"/>
    <s v="Palsson, Mrs. Nils (Alma Cornelia Berglund)"/>
    <x v="1"/>
    <n v="29"/>
    <n v="0"/>
    <n v="4"/>
    <s v="349909"/>
    <n v="21.074999999999999"/>
    <x v="0"/>
    <x v="0"/>
    <n v="5"/>
    <x v="2"/>
    <x v="0"/>
    <x v="0"/>
    <n v="2"/>
  </r>
  <r>
    <n v="569"/>
    <n v="0"/>
    <n v="3"/>
    <s v="Doharr, Mr. Tannous"/>
    <x v="0"/>
    <n v="26"/>
    <n v="0"/>
    <n v="0"/>
    <s v="2686"/>
    <n v="7.2291999999999996"/>
    <x v="0"/>
    <x v="0"/>
    <n v="1"/>
    <x v="1"/>
    <x v="0"/>
    <x v="0"/>
    <n v="1"/>
  </r>
  <r>
    <n v="570"/>
    <n v="1"/>
    <n v="3"/>
    <s v="Jonsson, Mr. Carl"/>
    <x v="0"/>
    <n v="32"/>
    <n v="0"/>
    <n v="0"/>
    <s v="350417"/>
    <n v="7.8541999999999996"/>
    <x v="1"/>
    <x v="0"/>
    <n v="1"/>
    <x v="1"/>
    <x v="0"/>
    <x v="0"/>
    <n v="1"/>
  </r>
  <r>
    <n v="571"/>
    <n v="1"/>
    <n v="2"/>
    <s v="Harris, Mr. George"/>
    <x v="0"/>
    <n v="62"/>
    <n v="0"/>
    <n v="0"/>
    <s v="S.W./PP 752"/>
    <n v="10.5"/>
    <x v="1"/>
    <x v="3"/>
    <n v="1"/>
    <x v="1"/>
    <x v="0"/>
    <x v="2"/>
    <n v="1"/>
  </r>
  <r>
    <n v="572"/>
    <n v="1"/>
    <n v="1"/>
    <s v="Appleton, Mrs. Edward Dale (Charlotte Lamson)"/>
    <x v="1"/>
    <n v="53"/>
    <n v="2"/>
    <n v="0"/>
    <s v="11769"/>
    <n v="51.479199999999999"/>
    <x v="1"/>
    <x v="1"/>
    <n v="3"/>
    <x v="0"/>
    <x v="1"/>
    <x v="1"/>
    <n v="2"/>
  </r>
  <r>
    <n v="573"/>
    <n v="1"/>
    <n v="1"/>
    <s v="Flynn, Mr. John Irwin (&quot;Irving&quot;)"/>
    <x v="0"/>
    <n v="36"/>
    <n v="0"/>
    <n v="0"/>
    <s v="PC 17474"/>
    <n v="26.387499999999999"/>
    <x v="1"/>
    <x v="1"/>
    <n v="1"/>
    <x v="1"/>
    <x v="1"/>
    <x v="1"/>
    <n v="1"/>
  </r>
  <r>
    <n v="574"/>
    <n v="1"/>
    <n v="3"/>
    <s v="Kelly, Miss. Mary"/>
    <x v="1"/>
    <n v="26"/>
    <n v="0"/>
    <n v="0"/>
    <s v="14312"/>
    <n v="7.75"/>
    <x v="1"/>
    <x v="0"/>
    <n v="1"/>
    <x v="1"/>
    <x v="0"/>
    <x v="0"/>
    <n v="2"/>
  </r>
  <r>
    <n v="575"/>
    <n v="0"/>
    <n v="3"/>
    <s v="Rush, Mr. Alfred George John"/>
    <x v="0"/>
    <n v="16"/>
    <n v="0"/>
    <n v="0"/>
    <s v="A/4. 20589"/>
    <n v="8.0500000000000007"/>
    <x v="0"/>
    <x v="2"/>
    <n v="1"/>
    <x v="1"/>
    <x v="0"/>
    <x v="0"/>
    <n v="1"/>
  </r>
  <r>
    <n v="576"/>
    <n v="0"/>
    <n v="3"/>
    <s v="Patchett, Mr. George"/>
    <x v="0"/>
    <n v="19"/>
    <n v="0"/>
    <n v="0"/>
    <s v="358585"/>
    <n v="14.5"/>
    <x v="0"/>
    <x v="0"/>
    <n v="1"/>
    <x v="1"/>
    <x v="0"/>
    <x v="0"/>
    <n v="1"/>
  </r>
  <r>
    <n v="577"/>
    <n v="1"/>
    <n v="2"/>
    <s v="Garside, Miss. Ethel"/>
    <x v="1"/>
    <n v="34"/>
    <n v="0"/>
    <n v="0"/>
    <s v="243880"/>
    <n v="13"/>
    <x v="1"/>
    <x v="0"/>
    <n v="1"/>
    <x v="1"/>
    <x v="0"/>
    <x v="2"/>
    <n v="2"/>
  </r>
  <r>
    <n v="578"/>
    <n v="1"/>
    <n v="1"/>
    <s v="Silvey, Mrs. William Baird (Alice Munger)"/>
    <x v="1"/>
    <n v="39"/>
    <n v="1"/>
    <n v="0"/>
    <s v="13507"/>
    <n v="55.9"/>
    <x v="1"/>
    <x v="1"/>
    <n v="2"/>
    <x v="0"/>
    <x v="1"/>
    <x v="1"/>
    <n v="2"/>
  </r>
  <r>
    <n v="579"/>
    <n v="0"/>
    <n v="3"/>
    <s v="Caram, Mrs. Joseph (Maria Elias)"/>
    <x v="1"/>
    <n v="26"/>
    <n v="1"/>
    <n v="0"/>
    <s v="2689"/>
    <n v="14.458299999999999"/>
    <x v="0"/>
    <x v="0"/>
    <n v="2"/>
    <x v="0"/>
    <x v="0"/>
    <x v="0"/>
    <n v="2"/>
  </r>
  <r>
    <n v="580"/>
    <n v="1"/>
    <n v="3"/>
    <s v="Jussila, Mr. Eiriik"/>
    <x v="0"/>
    <n v="32"/>
    <n v="0"/>
    <n v="0"/>
    <s v="STON/O 2. 3101286"/>
    <n v="7.9249999999999998"/>
    <x v="1"/>
    <x v="0"/>
    <n v="1"/>
    <x v="1"/>
    <x v="0"/>
    <x v="0"/>
    <n v="1"/>
  </r>
  <r>
    <n v="581"/>
    <n v="1"/>
    <n v="2"/>
    <s v="Christy, Miss. Julie Rachel"/>
    <x v="1"/>
    <n v="25"/>
    <n v="1"/>
    <n v="1"/>
    <s v="237789"/>
    <n v="30"/>
    <x v="1"/>
    <x v="0"/>
    <n v="3"/>
    <x v="0"/>
    <x v="1"/>
    <x v="2"/>
    <n v="2"/>
  </r>
  <r>
    <n v="582"/>
    <n v="1"/>
    <n v="1"/>
    <s v="Thayer, Mrs. John Borland (Marian Longstreth Morris)"/>
    <x v="1"/>
    <n v="39"/>
    <n v="1"/>
    <n v="1"/>
    <s v="17421"/>
    <n v="110.88330000000001"/>
    <x v="1"/>
    <x v="1"/>
    <n v="3"/>
    <x v="0"/>
    <x v="2"/>
    <x v="1"/>
    <n v="2"/>
  </r>
  <r>
    <n v="583"/>
    <n v="0"/>
    <n v="2"/>
    <s v="Downton, Mr. William James"/>
    <x v="0"/>
    <n v="54"/>
    <n v="0"/>
    <n v="0"/>
    <s v="28403"/>
    <n v="26"/>
    <x v="0"/>
    <x v="1"/>
    <n v="1"/>
    <x v="1"/>
    <x v="1"/>
    <x v="2"/>
    <n v="1"/>
  </r>
  <r>
    <n v="584"/>
    <n v="0"/>
    <n v="1"/>
    <s v="Ross, Mr. John Hugo"/>
    <x v="0"/>
    <n v="36"/>
    <n v="0"/>
    <n v="0"/>
    <s v="13049"/>
    <n v="40.125"/>
    <x v="0"/>
    <x v="1"/>
    <n v="1"/>
    <x v="1"/>
    <x v="1"/>
    <x v="1"/>
    <n v="1"/>
  </r>
  <r>
    <n v="585"/>
    <n v="0"/>
    <n v="3"/>
    <s v="Paulner, Mr. Uscher"/>
    <x v="0"/>
    <n v="26"/>
    <n v="0"/>
    <n v="0"/>
    <s v="3411"/>
    <n v="8.7125000000000004"/>
    <x v="0"/>
    <x v="0"/>
    <n v="1"/>
    <x v="1"/>
    <x v="0"/>
    <x v="0"/>
    <n v="1"/>
  </r>
  <r>
    <n v="586"/>
    <n v="1"/>
    <n v="1"/>
    <s v="Taussig, Miss. Ruth"/>
    <x v="1"/>
    <n v="18"/>
    <n v="0"/>
    <n v="2"/>
    <s v="110413"/>
    <n v="79.650000000000006"/>
    <x v="1"/>
    <x v="0"/>
    <n v="3"/>
    <x v="0"/>
    <x v="1"/>
    <x v="1"/>
    <n v="2"/>
  </r>
  <r>
    <n v="587"/>
    <n v="0"/>
    <n v="2"/>
    <s v="Jarvis, Mr. John Denzil"/>
    <x v="0"/>
    <n v="47"/>
    <n v="0"/>
    <n v="0"/>
    <s v="237565"/>
    <n v="15"/>
    <x v="0"/>
    <x v="1"/>
    <n v="1"/>
    <x v="1"/>
    <x v="0"/>
    <x v="2"/>
    <n v="1"/>
  </r>
  <r>
    <n v="588"/>
    <n v="1"/>
    <n v="1"/>
    <s v="Frolicher-Stehli, Mr. Maxmillian"/>
    <x v="0"/>
    <n v="60"/>
    <n v="1"/>
    <n v="1"/>
    <s v="13567"/>
    <n v="79.2"/>
    <x v="1"/>
    <x v="3"/>
    <n v="3"/>
    <x v="0"/>
    <x v="1"/>
    <x v="1"/>
    <n v="1"/>
  </r>
  <r>
    <n v="589"/>
    <n v="0"/>
    <n v="3"/>
    <s v="Gilinski, Mr. Eliezer"/>
    <x v="0"/>
    <n v="22"/>
    <n v="0"/>
    <n v="0"/>
    <s v="14973"/>
    <n v="8.0500000000000007"/>
    <x v="0"/>
    <x v="0"/>
    <n v="1"/>
    <x v="1"/>
    <x v="0"/>
    <x v="0"/>
    <n v="1"/>
  </r>
  <r>
    <n v="590"/>
    <n v="0"/>
    <n v="3"/>
    <s v="Murdlin, Mr. Joseph"/>
    <x v="0"/>
    <n v="26"/>
    <n v="0"/>
    <n v="0"/>
    <s v="A./5. 3235"/>
    <n v="8.0500000000000007"/>
    <x v="0"/>
    <x v="0"/>
    <n v="1"/>
    <x v="1"/>
    <x v="0"/>
    <x v="0"/>
    <n v="1"/>
  </r>
  <r>
    <n v="591"/>
    <n v="0"/>
    <n v="3"/>
    <s v="Rintamaki, Mr. Matti"/>
    <x v="0"/>
    <n v="35"/>
    <n v="0"/>
    <n v="0"/>
    <s v="STON/O 2. 3101273"/>
    <n v="7.125"/>
    <x v="0"/>
    <x v="1"/>
    <n v="1"/>
    <x v="1"/>
    <x v="0"/>
    <x v="0"/>
    <n v="1"/>
  </r>
  <r>
    <n v="592"/>
    <n v="1"/>
    <n v="1"/>
    <s v="Stephenson, Mrs. Walter Bertram (Martha Eustis)"/>
    <x v="1"/>
    <n v="52"/>
    <n v="1"/>
    <n v="0"/>
    <s v="36947"/>
    <n v="78.2667"/>
    <x v="1"/>
    <x v="1"/>
    <n v="2"/>
    <x v="0"/>
    <x v="1"/>
    <x v="1"/>
    <n v="2"/>
  </r>
  <r>
    <n v="593"/>
    <n v="0"/>
    <n v="3"/>
    <s v="Elsbury, Mr. William James"/>
    <x v="0"/>
    <n v="47"/>
    <n v="0"/>
    <n v="0"/>
    <s v="A/5 3902"/>
    <n v="7.25"/>
    <x v="0"/>
    <x v="1"/>
    <n v="1"/>
    <x v="1"/>
    <x v="0"/>
    <x v="0"/>
    <n v="1"/>
  </r>
  <r>
    <n v="594"/>
    <n v="0"/>
    <n v="3"/>
    <s v="Bourke, Miss. Mary"/>
    <x v="1"/>
    <n v="26"/>
    <n v="0"/>
    <n v="2"/>
    <s v="364848"/>
    <n v="7.75"/>
    <x v="0"/>
    <x v="0"/>
    <n v="3"/>
    <x v="0"/>
    <x v="0"/>
    <x v="0"/>
    <n v="2"/>
  </r>
  <r>
    <n v="595"/>
    <n v="0"/>
    <n v="2"/>
    <s v="Chapman, Mr. John Henry"/>
    <x v="0"/>
    <n v="37"/>
    <n v="1"/>
    <n v="0"/>
    <s v="SC/AH 29037"/>
    <n v="26"/>
    <x v="0"/>
    <x v="1"/>
    <n v="2"/>
    <x v="0"/>
    <x v="1"/>
    <x v="2"/>
    <n v="1"/>
  </r>
  <r>
    <n v="596"/>
    <n v="0"/>
    <n v="3"/>
    <s v="Van Impe, Mr. Jean Baptiste"/>
    <x v="0"/>
    <n v="36"/>
    <n v="1"/>
    <n v="1"/>
    <s v="345773"/>
    <n v="24.15"/>
    <x v="0"/>
    <x v="1"/>
    <n v="3"/>
    <x v="0"/>
    <x v="0"/>
    <x v="0"/>
    <n v="1"/>
  </r>
  <r>
    <n v="597"/>
    <n v="1"/>
    <n v="2"/>
    <s v="Leitch, Miss. Jessie Wills"/>
    <x v="1"/>
    <n v="26"/>
    <n v="0"/>
    <n v="0"/>
    <s v="248727"/>
    <n v="33"/>
    <x v="1"/>
    <x v="0"/>
    <n v="1"/>
    <x v="1"/>
    <x v="1"/>
    <x v="2"/>
    <n v="2"/>
  </r>
  <r>
    <n v="598"/>
    <n v="0"/>
    <n v="3"/>
    <s v="Johnson, Mr. Alfred"/>
    <x v="0"/>
    <n v="49"/>
    <n v="0"/>
    <n v="0"/>
    <s v="LINE"/>
    <n v="0"/>
    <x v="0"/>
    <x v="1"/>
    <n v="1"/>
    <x v="1"/>
    <x v="0"/>
    <x v="0"/>
    <n v="1"/>
  </r>
  <r>
    <n v="599"/>
    <n v="0"/>
    <n v="3"/>
    <s v="Boulos, Mr. Hanna"/>
    <x v="0"/>
    <n v="26"/>
    <n v="0"/>
    <n v="0"/>
    <s v="2664"/>
    <n v="7.2249999999999996"/>
    <x v="0"/>
    <x v="0"/>
    <n v="1"/>
    <x v="1"/>
    <x v="0"/>
    <x v="0"/>
    <n v="1"/>
  </r>
  <r>
    <n v="600"/>
    <n v="1"/>
    <n v="1"/>
    <s v="Duff Gordon, Sir. Cosmo Edmund (&quot;Mr Morgan&quot;)"/>
    <x v="0"/>
    <n v="49"/>
    <n v="1"/>
    <n v="0"/>
    <s v="PC 17485"/>
    <n v="56.929200000000002"/>
    <x v="1"/>
    <x v="1"/>
    <n v="2"/>
    <x v="0"/>
    <x v="1"/>
    <x v="1"/>
    <n v="1"/>
  </r>
  <r>
    <n v="601"/>
    <n v="1"/>
    <n v="2"/>
    <s v="Jacobsohn, Mrs. Sidney Samuel (Amy Frances Christy)"/>
    <x v="1"/>
    <n v="24"/>
    <n v="2"/>
    <n v="1"/>
    <s v="243847"/>
    <n v="27"/>
    <x v="1"/>
    <x v="0"/>
    <n v="4"/>
    <x v="0"/>
    <x v="1"/>
    <x v="2"/>
    <n v="2"/>
  </r>
  <r>
    <n v="602"/>
    <n v="0"/>
    <n v="3"/>
    <s v="Slabenoff, Mr. Petco"/>
    <x v="0"/>
    <n v="26"/>
    <n v="0"/>
    <n v="0"/>
    <s v="349214"/>
    <n v="7.8958000000000004"/>
    <x v="0"/>
    <x v="0"/>
    <n v="1"/>
    <x v="1"/>
    <x v="0"/>
    <x v="0"/>
    <n v="1"/>
  </r>
  <r>
    <n v="603"/>
    <n v="0"/>
    <n v="1"/>
    <s v="Harrington, Mr. Charles H"/>
    <x v="0"/>
    <n v="26"/>
    <n v="0"/>
    <n v="0"/>
    <s v="113796"/>
    <n v="42.4"/>
    <x v="0"/>
    <x v="0"/>
    <n v="1"/>
    <x v="1"/>
    <x v="1"/>
    <x v="1"/>
    <n v="1"/>
  </r>
  <r>
    <n v="604"/>
    <n v="0"/>
    <n v="3"/>
    <s v="Torber, Mr. Ernst William"/>
    <x v="0"/>
    <n v="44"/>
    <n v="0"/>
    <n v="0"/>
    <s v="364511"/>
    <n v="8.0500000000000007"/>
    <x v="0"/>
    <x v="1"/>
    <n v="1"/>
    <x v="1"/>
    <x v="0"/>
    <x v="0"/>
    <n v="1"/>
  </r>
  <r>
    <n v="605"/>
    <n v="1"/>
    <n v="1"/>
    <s v="Homer, Mr. Harry (&quot;Mr E Haven&quot;)"/>
    <x v="0"/>
    <n v="35"/>
    <n v="0"/>
    <n v="0"/>
    <s v="111426"/>
    <n v="26.55"/>
    <x v="1"/>
    <x v="1"/>
    <n v="1"/>
    <x v="1"/>
    <x v="1"/>
    <x v="1"/>
    <n v="1"/>
  </r>
  <r>
    <n v="606"/>
    <n v="0"/>
    <n v="3"/>
    <s v="Lindell, Mr. Edvard Bengtsson"/>
    <x v="0"/>
    <n v="36"/>
    <n v="1"/>
    <n v="0"/>
    <s v="349910"/>
    <n v="15.55"/>
    <x v="0"/>
    <x v="1"/>
    <n v="2"/>
    <x v="0"/>
    <x v="0"/>
    <x v="0"/>
    <n v="1"/>
  </r>
  <r>
    <n v="607"/>
    <n v="0"/>
    <n v="3"/>
    <s v="Karaic, Mr. Milan"/>
    <x v="0"/>
    <n v="30"/>
    <n v="0"/>
    <n v="0"/>
    <s v="349246"/>
    <n v="7.8958000000000004"/>
    <x v="0"/>
    <x v="0"/>
    <n v="1"/>
    <x v="1"/>
    <x v="0"/>
    <x v="0"/>
    <n v="1"/>
  </r>
  <r>
    <n v="608"/>
    <n v="1"/>
    <n v="1"/>
    <s v="Daniel, Mr. Robert Williams"/>
    <x v="0"/>
    <n v="27"/>
    <n v="0"/>
    <n v="0"/>
    <s v="113804"/>
    <n v="30.5"/>
    <x v="1"/>
    <x v="0"/>
    <n v="1"/>
    <x v="1"/>
    <x v="1"/>
    <x v="1"/>
    <n v="1"/>
  </r>
  <r>
    <n v="609"/>
    <n v="1"/>
    <n v="2"/>
    <s v="Laroche, Mrs. Joseph (Juliette Marie Louise Lafargue)"/>
    <x v="1"/>
    <n v="22"/>
    <n v="1"/>
    <n v="2"/>
    <s v="SC/Paris 2123"/>
    <n v="41.5792"/>
    <x v="1"/>
    <x v="0"/>
    <n v="4"/>
    <x v="0"/>
    <x v="1"/>
    <x v="2"/>
    <n v="2"/>
  </r>
  <r>
    <n v="610"/>
    <n v="1"/>
    <n v="1"/>
    <s v="Shutes, Miss. Elizabeth W"/>
    <x v="1"/>
    <n v="40"/>
    <n v="0"/>
    <n v="0"/>
    <s v="PC 17582"/>
    <n v="153.46250000000001"/>
    <x v="1"/>
    <x v="1"/>
    <n v="1"/>
    <x v="1"/>
    <x v="2"/>
    <x v="1"/>
    <n v="2"/>
  </r>
  <r>
    <n v="611"/>
    <n v="0"/>
    <n v="3"/>
    <s v="Andersson, Mrs. Anders Johan (Alfrida Konstantia Brogren)"/>
    <x v="1"/>
    <n v="39"/>
    <n v="1"/>
    <n v="5"/>
    <s v="347082"/>
    <n v="31.274999999999999"/>
    <x v="0"/>
    <x v="1"/>
    <n v="7"/>
    <x v="2"/>
    <x v="1"/>
    <x v="0"/>
    <n v="2"/>
  </r>
  <r>
    <n v="612"/>
    <n v="0"/>
    <n v="3"/>
    <s v="Jardin, Mr. Jose Neto"/>
    <x v="0"/>
    <n v="26"/>
    <n v="0"/>
    <n v="0"/>
    <s v="SOTON/O.Q. 3101305"/>
    <n v="7.05"/>
    <x v="0"/>
    <x v="0"/>
    <n v="1"/>
    <x v="1"/>
    <x v="0"/>
    <x v="0"/>
    <n v="1"/>
  </r>
  <r>
    <n v="613"/>
    <n v="1"/>
    <n v="3"/>
    <s v="Murphy, Miss. Margaret Jane"/>
    <x v="1"/>
    <n v="26"/>
    <n v="1"/>
    <n v="0"/>
    <s v="367230"/>
    <n v="15.5"/>
    <x v="1"/>
    <x v="0"/>
    <n v="2"/>
    <x v="0"/>
    <x v="0"/>
    <x v="0"/>
    <n v="2"/>
  </r>
  <r>
    <n v="614"/>
    <n v="0"/>
    <n v="3"/>
    <s v="Horgan, Mr. John"/>
    <x v="0"/>
    <n v="26"/>
    <n v="0"/>
    <n v="0"/>
    <s v="370377"/>
    <n v="7.75"/>
    <x v="0"/>
    <x v="0"/>
    <n v="1"/>
    <x v="1"/>
    <x v="0"/>
    <x v="0"/>
    <n v="1"/>
  </r>
  <r>
    <n v="615"/>
    <n v="0"/>
    <n v="3"/>
    <s v="Brocklebank, Mr. William Alfred"/>
    <x v="0"/>
    <n v="35"/>
    <n v="0"/>
    <n v="0"/>
    <s v="364512"/>
    <n v="8.0500000000000007"/>
    <x v="0"/>
    <x v="1"/>
    <n v="1"/>
    <x v="1"/>
    <x v="0"/>
    <x v="0"/>
    <n v="1"/>
  </r>
  <r>
    <n v="616"/>
    <n v="1"/>
    <n v="2"/>
    <s v="Herman, Miss. Alice"/>
    <x v="1"/>
    <n v="24"/>
    <n v="1"/>
    <n v="2"/>
    <s v="220845"/>
    <n v="65"/>
    <x v="1"/>
    <x v="0"/>
    <n v="4"/>
    <x v="0"/>
    <x v="1"/>
    <x v="2"/>
    <n v="2"/>
  </r>
  <r>
    <n v="617"/>
    <n v="0"/>
    <n v="3"/>
    <s v="Danbom, Mr. Ernst Gilbert"/>
    <x v="0"/>
    <n v="34"/>
    <n v="1"/>
    <n v="1"/>
    <s v="347080"/>
    <n v="14.4"/>
    <x v="0"/>
    <x v="0"/>
    <n v="3"/>
    <x v="0"/>
    <x v="0"/>
    <x v="0"/>
    <n v="1"/>
  </r>
  <r>
    <n v="618"/>
    <n v="0"/>
    <n v="3"/>
    <s v="Lobb, Mrs. William Arthur (Cordelia K Stanlick)"/>
    <x v="1"/>
    <n v="26"/>
    <n v="1"/>
    <n v="0"/>
    <s v="A/5. 3336"/>
    <n v="16.100000000000001"/>
    <x v="0"/>
    <x v="0"/>
    <n v="2"/>
    <x v="0"/>
    <x v="0"/>
    <x v="0"/>
    <n v="2"/>
  </r>
  <r>
    <n v="619"/>
    <n v="1"/>
    <n v="2"/>
    <s v="Becker, Miss. Marion Louise"/>
    <x v="1"/>
    <n v="4"/>
    <n v="2"/>
    <n v="1"/>
    <s v="230136"/>
    <n v="39"/>
    <x v="1"/>
    <x v="2"/>
    <n v="4"/>
    <x v="0"/>
    <x v="1"/>
    <x v="2"/>
    <n v="2"/>
  </r>
  <r>
    <n v="620"/>
    <n v="0"/>
    <n v="2"/>
    <s v="Gavey, Mr. Lawrence"/>
    <x v="0"/>
    <n v="26"/>
    <n v="0"/>
    <n v="0"/>
    <s v="31028"/>
    <n v="10.5"/>
    <x v="0"/>
    <x v="0"/>
    <n v="1"/>
    <x v="1"/>
    <x v="0"/>
    <x v="2"/>
    <n v="1"/>
  </r>
  <r>
    <n v="621"/>
    <n v="0"/>
    <n v="3"/>
    <s v="Yasbeck, Mr. Antoni"/>
    <x v="0"/>
    <n v="27"/>
    <n v="1"/>
    <n v="0"/>
    <s v="2659"/>
    <n v="14.4542"/>
    <x v="0"/>
    <x v="0"/>
    <n v="2"/>
    <x v="0"/>
    <x v="0"/>
    <x v="0"/>
    <n v="1"/>
  </r>
  <r>
    <n v="622"/>
    <n v="1"/>
    <n v="1"/>
    <s v="Kimball, Mr. Edwin Nelson Jr"/>
    <x v="0"/>
    <n v="42"/>
    <n v="1"/>
    <n v="0"/>
    <s v="11753"/>
    <n v="52.554200000000002"/>
    <x v="1"/>
    <x v="1"/>
    <n v="2"/>
    <x v="0"/>
    <x v="1"/>
    <x v="1"/>
    <n v="1"/>
  </r>
  <r>
    <n v="623"/>
    <n v="1"/>
    <n v="3"/>
    <s v="Nakid, Mr. Sahid"/>
    <x v="0"/>
    <n v="20"/>
    <n v="1"/>
    <n v="1"/>
    <s v="2653"/>
    <n v="15.7417"/>
    <x v="1"/>
    <x v="0"/>
    <n v="3"/>
    <x v="0"/>
    <x v="0"/>
    <x v="0"/>
    <n v="1"/>
  </r>
  <r>
    <n v="624"/>
    <n v="0"/>
    <n v="3"/>
    <s v="Hansen, Mr. Henry Damsgaard"/>
    <x v="0"/>
    <n v="21"/>
    <n v="0"/>
    <n v="0"/>
    <s v="350029"/>
    <n v="7.8541999999999996"/>
    <x v="0"/>
    <x v="0"/>
    <n v="1"/>
    <x v="1"/>
    <x v="0"/>
    <x v="0"/>
    <n v="1"/>
  </r>
  <r>
    <n v="625"/>
    <n v="0"/>
    <n v="3"/>
    <s v="Bowen, Mr. David John &quot;Dai&quot;"/>
    <x v="0"/>
    <n v="21"/>
    <n v="0"/>
    <n v="0"/>
    <s v="54636"/>
    <n v="16.100000000000001"/>
    <x v="0"/>
    <x v="0"/>
    <n v="1"/>
    <x v="1"/>
    <x v="0"/>
    <x v="0"/>
    <n v="1"/>
  </r>
  <r>
    <n v="626"/>
    <n v="0"/>
    <n v="1"/>
    <s v="Sutton, Mr. Frederick"/>
    <x v="0"/>
    <n v="61"/>
    <n v="0"/>
    <n v="0"/>
    <s v="36963"/>
    <n v="32.320799999999998"/>
    <x v="0"/>
    <x v="3"/>
    <n v="1"/>
    <x v="1"/>
    <x v="1"/>
    <x v="1"/>
    <n v="1"/>
  </r>
  <r>
    <n v="627"/>
    <n v="0"/>
    <n v="2"/>
    <s v="Kirkland, Rev. Charles Leonard"/>
    <x v="0"/>
    <n v="57"/>
    <n v="0"/>
    <n v="0"/>
    <s v="219533"/>
    <n v="12.35"/>
    <x v="0"/>
    <x v="1"/>
    <n v="1"/>
    <x v="1"/>
    <x v="0"/>
    <x v="2"/>
    <n v="1"/>
  </r>
  <r>
    <n v="628"/>
    <n v="1"/>
    <n v="1"/>
    <s v="Longley, Miss. Gretchen Fiske"/>
    <x v="1"/>
    <n v="21"/>
    <n v="0"/>
    <n v="0"/>
    <s v="13502"/>
    <n v="77.958299999999994"/>
    <x v="1"/>
    <x v="0"/>
    <n v="1"/>
    <x v="1"/>
    <x v="1"/>
    <x v="1"/>
    <n v="2"/>
  </r>
  <r>
    <n v="629"/>
    <n v="0"/>
    <n v="3"/>
    <s v="Bostandyeff, Mr. Guentcho"/>
    <x v="0"/>
    <n v="26"/>
    <n v="0"/>
    <n v="0"/>
    <s v="349224"/>
    <n v="7.8958000000000004"/>
    <x v="0"/>
    <x v="0"/>
    <n v="1"/>
    <x v="1"/>
    <x v="0"/>
    <x v="0"/>
    <n v="1"/>
  </r>
  <r>
    <n v="630"/>
    <n v="0"/>
    <n v="3"/>
    <s v="O'Connell, Mr. Patrick D"/>
    <x v="0"/>
    <n v="26"/>
    <n v="0"/>
    <n v="0"/>
    <s v="334912"/>
    <n v="7.7332999999999998"/>
    <x v="0"/>
    <x v="0"/>
    <n v="1"/>
    <x v="1"/>
    <x v="0"/>
    <x v="0"/>
    <n v="1"/>
  </r>
  <r>
    <n v="631"/>
    <n v="1"/>
    <n v="1"/>
    <s v="Barkworth, Mr. Algernon Henry Wilson"/>
    <x v="0"/>
    <n v="80"/>
    <n v="0"/>
    <n v="0"/>
    <s v="27042"/>
    <n v="30"/>
    <x v="1"/>
    <x v="3"/>
    <n v="1"/>
    <x v="1"/>
    <x v="1"/>
    <x v="1"/>
    <n v="1"/>
  </r>
  <r>
    <n v="632"/>
    <n v="0"/>
    <n v="3"/>
    <s v="Lundahl, Mr. Johan Svensson"/>
    <x v="0"/>
    <n v="51"/>
    <n v="0"/>
    <n v="0"/>
    <s v="347743"/>
    <n v="7.0541999999999998"/>
    <x v="0"/>
    <x v="1"/>
    <n v="1"/>
    <x v="1"/>
    <x v="0"/>
    <x v="0"/>
    <n v="1"/>
  </r>
  <r>
    <n v="633"/>
    <n v="1"/>
    <n v="1"/>
    <s v="Stahelin-Maeglin, Dr. Max"/>
    <x v="0"/>
    <n v="32"/>
    <n v="0"/>
    <n v="0"/>
    <s v="13214"/>
    <n v="30.5"/>
    <x v="1"/>
    <x v="0"/>
    <n v="1"/>
    <x v="1"/>
    <x v="1"/>
    <x v="1"/>
    <n v="1"/>
  </r>
  <r>
    <n v="634"/>
    <n v="0"/>
    <n v="1"/>
    <s v="Parr, Mr. William Henry Marsh"/>
    <x v="0"/>
    <n v="26"/>
    <n v="0"/>
    <n v="0"/>
    <s v="112052"/>
    <n v="0"/>
    <x v="0"/>
    <x v="0"/>
    <n v="1"/>
    <x v="1"/>
    <x v="0"/>
    <x v="1"/>
    <n v="1"/>
  </r>
  <r>
    <n v="635"/>
    <n v="0"/>
    <n v="3"/>
    <s v="Skoog, Miss. Mabel"/>
    <x v="1"/>
    <n v="9"/>
    <n v="3"/>
    <n v="2"/>
    <s v="347088"/>
    <n v="27.9"/>
    <x v="0"/>
    <x v="2"/>
    <n v="6"/>
    <x v="2"/>
    <x v="1"/>
    <x v="0"/>
    <n v="2"/>
  </r>
  <r>
    <n v="636"/>
    <n v="1"/>
    <n v="2"/>
    <s v="Davis, Miss. Mary"/>
    <x v="1"/>
    <n v="28"/>
    <n v="0"/>
    <n v="0"/>
    <s v="237668"/>
    <n v="13"/>
    <x v="1"/>
    <x v="0"/>
    <n v="1"/>
    <x v="1"/>
    <x v="0"/>
    <x v="2"/>
    <n v="2"/>
  </r>
  <r>
    <n v="637"/>
    <n v="0"/>
    <n v="3"/>
    <s v="Leinonen, Mr. Antti Gustaf"/>
    <x v="0"/>
    <n v="32"/>
    <n v="0"/>
    <n v="0"/>
    <s v="STON/O 2. 3101292"/>
    <n v="7.9249999999999998"/>
    <x v="0"/>
    <x v="0"/>
    <n v="1"/>
    <x v="1"/>
    <x v="0"/>
    <x v="0"/>
    <n v="1"/>
  </r>
  <r>
    <n v="638"/>
    <n v="0"/>
    <n v="2"/>
    <s v="Collyer, Mr. Harvey"/>
    <x v="0"/>
    <n v="31"/>
    <n v="1"/>
    <n v="1"/>
    <s v="C.A. 31921"/>
    <n v="26.25"/>
    <x v="0"/>
    <x v="0"/>
    <n v="3"/>
    <x v="0"/>
    <x v="1"/>
    <x v="2"/>
    <n v="1"/>
  </r>
  <r>
    <n v="639"/>
    <n v="0"/>
    <n v="3"/>
    <s v="Panula, Mrs. Juha (Maria Emilia Ojala)"/>
    <x v="1"/>
    <n v="41"/>
    <n v="0"/>
    <n v="5"/>
    <s v="3101295"/>
    <n v="39.6875"/>
    <x v="0"/>
    <x v="1"/>
    <n v="6"/>
    <x v="2"/>
    <x v="1"/>
    <x v="0"/>
    <n v="2"/>
  </r>
  <r>
    <n v="640"/>
    <n v="0"/>
    <n v="3"/>
    <s v="Thorneycroft, Mr. Percival"/>
    <x v="0"/>
    <n v="26"/>
    <n v="1"/>
    <n v="0"/>
    <s v="376564"/>
    <n v="16.100000000000001"/>
    <x v="0"/>
    <x v="0"/>
    <n v="2"/>
    <x v="0"/>
    <x v="0"/>
    <x v="0"/>
    <n v="1"/>
  </r>
  <r>
    <n v="641"/>
    <n v="0"/>
    <n v="3"/>
    <s v="Jensen, Mr. Hans Peder"/>
    <x v="0"/>
    <n v="20"/>
    <n v="0"/>
    <n v="0"/>
    <s v="350050"/>
    <n v="7.8541999999999996"/>
    <x v="0"/>
    <x v="0"/>
    <n v="1"/>
    <x v="1"/>
    <x v="0"/>
    <x v="0"/>
    <n v="1"/>
  </r>
  <r>
    <n v="642"/>
    <n v="1"/>
    <n v="1"/>
    <s v="Sagesser, Mlle. Emma"/>
    <x v="1"/>
    <n v="24"/>
    <n v="0"/>
    <n v="0"/>
    <s v="PC 17477"/>
    <n v="69.3"/>
    <x v="1"/>
    <x v="0"/>
    <n v="1"/>
    <x v="1"/>
    <x v="1"/>
    <x v="1"/>
    <n v="2"/>
  </r>
  <r>
    <n v="643"/>
    <n v="0"/>
    <n v="3"/>
    <s v="Skoog, Miss. Margit Elizabeth"/>
    <x v="1"/>
    <n v="2"/>
    <n v="3"/>
    <n v="2"/>
    <s v="347088"/>
    <n v="27.9"/>
    <x v="0"/>
    <x v="2"/>
    <n v="6"/>
    <x v="2"/>
    <x v="1"/>
    <x v="0"/>
    <n v="2"/>
  </r>
  <r>
    <n v="644"/>
    <n v="1"/>
    <n v="3"/>
    <s v="Foo, Mr. Choong"/>
    <x v="0"/>
    <n v="26"/>
    <n v="0"/>
    <n v="0"/>
    <s v="1601"/>
    <n v="56.495800000000003"/>
    <x v="1"/>
    <x v="0"/>
    <n v="1"/>
    <x v="1"/>
    <x v="1"/>
    <x v="0"/>
    <n v="1"/>
  </r>
  <r>
    <n v="645"/>
    <n v="1"/>
    <n v="3"/>
    <s v="Baclini, Miss. Eugenie"/>
    <x v="1"/>
    <n v="0.75"/>
    <n v="2"/>
    <n v="1"/>
    <s v="2666"/>
    <n v="19.258299999999998"/>
    <x v="1"/>
    <x v="2"/>
    <n v="4"/>
    <x v="0"/>
    <x v="0"/>
    <x v="0"/>
    <n v="2"/>
  </r>
  <r>
    <n v="646"/>
    <n v="1"/>
    <n v="1"/>
    <s v="Harper, Mr. Henry Sleeper"/>
    <x v="0"/>
    <n v="48"/>
    <n v="1"/>
    <n v="0"/>
    <s v="PC 17572"/>
    <n v="76.729200000000006"/>
    <x v="1"/>
    <x v="1"/>
    <n v="2"/>
    <x v="0"/>
    <x v="1"/>
    <x v="1"/>
    <n v="1"/>
  </r>
  <r>
    <n v="647"/>
    <n v="0"/>
    <n v="3"/>
    <s v="Cor, Mr. Liudevit"/>
    <x v="0"/>
    <n v="19"/>
    <n v="0"/>
    <n v="0"/>
    <s v="349231"/>
    <n v="7.8958000000000004"/>
    <x v="0"/>
    <x v="0"/>
    <n v="1"/>
    <x v="1"/>
    <x v="0"/>
    <x v="0"/>
    <n v="1"/>
  </r>
  <r>
    <n v="648"/>
    <n v="1"/>
    <n v="1"/>
    <s v="Simonius-Blumer, Col. Oberst Alfons"/>
    <x v="0"/>
    <n v="56"/>
    <n v="0"/>
    <n v="0"/>
    <s v="13213"/>
    <n v="35.5"/>
    <x v="1"/>
    <x v="1"/>
    <n v="1"/>
    <x v="1"/>
    <x v="1"/>
    <x v="1"/>
    <n v="1"/>
  </r>
  <r>
    <n v="649"/>
    <n v="0"/>
    <n v="3"/>
    <s v="Willey, Mr. Edward"/>
    <x v="0"/>
    <n v="26"/>
    <n v="0"/>
    <n v="0"/>
    <s v="S.O./P.P. 751"/>
    <n v="7.55"/>
    <x v="0"/>
    <x v="0"/>
    <n v="1"/>
    <x v="1"/>
    <x v="0"/>
    <x v="0"/>
    <n v="1"/>
  </r>
  <r>
    <n v="650"/>
    <n v="1"/>
    <n v="3"/>
    <s v="Stanley, Miss. Amy Zillah Elsie"/>
    <x v="1"/>
    <n v="23"/>
    <n v="0"/>
    <n v="0"/>
    <s v="CA. 2314"/>
    <n v="7.55"/>
    <x v="1"/>
    <x v="0"/>
    <n v="1"/>
    <x v="1"/>
    <x v="0"/>
    <x v="0"/>
    <n v="2"/>
  </r>
  <r>
    <n v="651"/>
    <n v="0"/>
    <n v="3"/>
    <s v="Mitkoff, Mr. Mito"/>
    <x v="0"/>
    <n v="26"/>
    <n v="0"/>
    <n v="0"/>
    <s v="349221"/>
    <n v="7.8958000000000004"/>
    <x v="0"/>
    <x v="0"/>
    <n v="1"/>
    <x v="1"/>
    <x v="0"/>
    <x v="0"/>
    <n v="1"/>
  </r>
  <r>
    <n v="652"/>
    <n v="1"/>
    <n v="2"/>
    <s v="Doling, Miss. Elsie"/>
    <x v="1"/>
    <n v="18"/>
    <n v="0"/>
    <n v="1"/>
    <s v="231919"/>
    <n v="23"/>
    <x v="1"/>
    <x v="0"/>
    <n v="2"/>
    <x v="0"/>
    <x v="0"/>
    <x v="2"/>
    <n v="2"/>
  </r>
  <r>
    <n v="653"/>
    <n v="0"/>
    <n v="3"/>
    <s v="Kalvik, Mr. Johannes Halvorsen"/>
    <x v="0"/>
    <n v="21"/>
    <n v="0"/>
    <n v="0"/>
    <s v="8475"/>
    <n v="8.4332999999999991"/>
    <x v="0"/>
    <x v="0"/>
    <n v="1"/>
    <x v="1"/>
    <x v="0"/>
    <x v="0"/>
    <n v="1"/>
  </r>
  <r>
    <n v="654"/>
    <n v="1"/>
    <n v="3"/>
    <s v="O'Leary, Miss. Hanora &quot;Norah&quot;"/>
    <x v="1"/>
    <n v="26"/>
    <n v="0"/>
    <n v="0"/>
    <s v="330919"/>
    <n v="7.8292000000000002"/>
    <x v="1"/>
    <x v="0"/>
    <n v="1"/>
    <x v="1"/>
    <x v="0"/>
    <x v="0"/>
    <n v="2"/>
  </r>
  <r>
    <n v="655"/>
    <n v="0"/>
    <n v="3"/>
    <s v="Hegarty, Miss. Hanora &quot;Nora&quot;"/>
    <x v="1"/>
    <n v="18"/>
    <n v="0"/>
    <n v="0"/>
    <s v="365226"/>
    <n v="6.75"/>
    <x v="0"/>
    <x v="0"/>
    <n v="1"/>
    <x v="1"/>
    <x v="0"/>
    <x v="0"/>
    <n v="2"/>
  </r>
  <r>
    <n v="656"/>
    <n v="0"/>
    <n v="2"/>
    <s v="Hickman, Mr. Leonard Mark"/>
    <x v="0"/>
    <n v="24"/>
    <n v="2"/>
    <n v="0"/>
    <s v="S.O.C. 14879"/>
    <n v="73.5"/>
    <x v="0"/>
    <x v="0"/>
    <n v="3"/>
    <x v="0"/>
    <x v="1"/>
    <x v="2"/>
    <n v="1"/>
  </r>
  <r>
    <n v="657"/>
    <n v="0"/>
    <n v="3"/>
    <s v="Radeff, Mr. Alexander"/>
    <x v="0"/>
    <n v="26"/>
    <n v="0"/>
    <n v="0"/>
    <s v="349223"/>
    <n v="7.8958000000000004"/>
    <x v="0"/>
    <x v="0"/>
    <n v="1"/>
    <x v="1"/>
    <x v="0"/>
    <x v="0"/>
    <n v="1"/>
  </r>
  <r>
    <n v="658"/>
    <n v="0"/>
    <n v="3"/>
    <s v="Bourke, Mrs. John (Catherine)"/>
    <x v="1"/>
    <n v="32"/>
    <n v="1"/>
    <n v="1"/>
    <s v="364849"/>
    <n v="15.5"/>
    <x v="0"/>
    <x v="0"/>
    <n v="3"/>
    <x v="0"/>
    <x v="0"/>
    <x v="0"/>
    <n v="2"/>
  </r>
  <r>
    <n v="659"/>
    <n v="0"/>
    <n v="2"/>
    <s v="Eitemiller, Mr. George Floyd"/>
    <x v="0"/>
    <n v="23"/>
    <n v="0"/>
    <n v="0"/>
    <s v="29751"/>
    <n v="13"/>
    <x v="0"/>
    <x v="0"/>
    <n v="1"/>
    <x v="1"/>
    <x v="0"/>
    <x v="2"/>
    <n v="1"/>
  </r>
  <r>
    <n v="660"/>
    <n v="0"/>
    <n v="1"/>
    <s v="Newell, Mr. Arthur Webster"/>
    <x v="0"/>
    <n v="58"/>
    <n v="0"/>
    <n v="2"/>
    <s v="35273"/>
    <n v="113.27500000000001"/>
    <x v="0"/>
    <x v="1"/>
    <n v="3"/>
    <x v="0"/>
    <x v="2"/>
    <x v="1"/>
    <n v="1"/>
  </r>
  <r>
    <n v="661"/>
    <n v="1"/>
    <n v="1"/>
    <s v="Frauenthal, Dr. Henry William"/>
    <x v="0"/>
    <n v="50"/>
    <n v="2"/>
    <n v="0"/>
    <s v="PC 17611"/>
    <n v="133.65"/>
    <x v="1"/>
    <x v="1"/>
    <n v="3"/>
    <x v="0"/>
    <x v="2"/>
    <x v="1"/>
    <n v="1"/>
  </r>
  <r>
    <n v="662"/>
    <n v="0"/>
    <n v="3"/>
    <s v="Badt, Mr. Mohamed"/>
    <x v="0"/>
    <n v="40"/>
    <n v="0"/>
    <n v="0"/>
    <s v="2623"/>
    <n v="7.2249999999999996"/>
    <x v="0"/>
    <x v="1"/>
    <n v="1"/>
    <x v="1"/>
    <x v="0"/>
    <x v="0"/>
    <n v="1"/>
  </r>
  <r>
    <n v="663"/>
    <n v="0"/>
    <n v="1"/>
    <s v="Colley, Mr. Edward Pomeroy"/>
    <x v="0"/>
    <n v="47"/>
    <n v="0"/>
    <n v="0"/>
    <s v="5727"/>
    <n v="25.587499999999999"/>
    <x v="0"/>
    <x v="1"/>
    <n v="1"/>
    <x v="1"/>
    <x v="1"/>
    <x v="1"/>
    <n v="1"/>
  </r>
  <r>
    <n v="664"/>
    <n v="0"/>
    <n v="3"/>
    <s v="Coleff, Mr. Peju"/>
    <x v="0"/>
    <n v="36"/>
    <n v="0"/>
    <n v="0"/>
    <s v="349210"/>
    <n v="7.4958"/>
    <x v="0"/>
    <x v="1"/>
    <n v="1"/>
    <x v="1"/>
    <x v="0"/>
    <x v="0"/>
    <n v="1"/>
  </r>
  <r>
    <n v="665"/>
    <n v="1"/>
    <n v="3"/>
    <s v="Lindqvist, Mr. Eino William"/>
    <x v="0"/>
    <n v="20"/>
    <n v="1"/>
    <n v="0"/>
    <s v="STON/O 2. 3101285"/>
    <n v="7.9249999999999998"/>
    <x v="1"/>
    <x v="0"/>
    <n v="2"/>
    <x v="0"/>
    <x v="0"/>
    <x v="0"/>
    <n v="1"/>
  </r>
  <r>
    <n v="666"/>
    <n v="0"/>
    <n v="2"/>
    <s v="Hickman, Mr. Lewis"/>
    <x v="0"/>
    <n v="32"/>
    <n v="2"/>
    <n v="0"/>
    <s v="S.O.C. 14879"/>
    <n v="73.5"/>
    <x v="0"/>
    <x v="0"/>
    <n v="3"/>
    <x v="0"/>
    <x v="1"/>
    <x v="2"/>
    <n v="1"/>
  </r>
  <r>
    <n v="667"/>
    <n v="0"/>
    <n v="2"/>
    <s v="Butler, Mr. Reginald Fenton"/>
    <x v="0"/>
    <n v="25"/>
    <n v="0"/>
    <n v="0"/>
    <s v="234686"/>
    <n v="13"/>
    <x v="0"/>
    <x v="0"/>
    <n v="1"/>
    <x v="1"/>
    <x v="0"/>
    <x v="2"/>
    <n v="1"/>
  </r>
  <r>
    <n v="668"/>
    <n v="0"/>
    <n v="3"/>
    <s v="Rommetvedt, Mr. Knud Paust"/>
    <x v="0"/>
    <n v="26"/>
    <n v="0"/>
    <n v="0"/>
    <s v="312993"/>
    <n v="7.7750000000000004"/>
    <x v="0"/>
    <x v="0"/>
    <n v="1"/>
    <x v="1"/>
    <x v="0"/>
    <x v="0"/>
    <n v="1"/>
  </r>
  <r>
    <n v="669"/>
    <n v="0"/>
    <n v="3"/>
    <s v="Cook, Mr. Jacob"/>
    <x v="0"/>
    <n v="43"/>
    <n v="0"/>
    <n v="0"/>
    <s v="A/5 3536"/>
    <n v="8.0500000000000007"/>
    <x v="0"/>
    <x v="1"/>
    <n v="1"/>
    <x v="1"/>
    <x v="0"/>
    <x v="0"/>
    <n v="1"/>
  </r>
  <r>
    <n v="670"/>
    <n v="1"/>
    <n v="1"/>
    <s v="Taylor, Mrs. Elmer Zebley (Juliet Cummins Wright)"/>
    <x v="1"/>
    <n v="26"/>
    <n v="1"/>
    <n v="0"/>
    <s v="19996"/>
    <n v="52"/>
    <x v="1"/>
    <x v="0"/>
    <n v="2"/>
    <x v="0"/>
    <x v="1"/>
    <x v="1"/>
    <n v="2"/>
  </r>
  <r>
    <n v="671"/>
    <n v="1"/>
    <n v="2"/>
    <s v="Brown, Mrs. Thomas William Solomon (Elizabeth Catherine Ford)"/>
    <x v="1"/>
    <n v="40"/>
    <n v="1"/>
    <n v="1"/>
    <s v="29750"/>
    <n v="39"/>
    <x v="1"/>
    <x v="1"/>
    <n v="3"/>
    <x v="0"/>
    <x v="1"/>
    <x v="2"/>
    <n v="2"/>
  </r>
  <r>
    <n v="672"/>
    <n v="0"/>
    <n v="1"/>
    <s v="Davidson, Mr. Thornton"/>
    <x v="0"/>
    <n v="31"/>
    <n v="1"/>
    <n v="0"/>
    <s v="F.C. 12750"/>
    <n v="52"/>
    <x v="0"/>
    <x v="0"/>
    <n v="2"/>
    <x v="0"/>
    <x v="1"/>
    <x v="1"/>
    <n v="1"/>
  </r>
  <r>
    <n v="673"/>
    <n v="0"/>
    <n v="2"/>
    <s v="Mitchell, Mr. Henry Michael"/>
    <x v="0"/>
    <n v="70"/>
    <n v="0"/>
    <n v="0"/>
    <s v="C.A. 24580"/>
    <n v="10.5"/>
    <x v="0"/>
    <x v="3"/>
    <n v="1"/>
    <x v="1"/>
    <x v="0"/>
    <x v="2"/>
    <n v="1"/>
  </r>
  <r>
    <n v="674"/>
    <n v="1"/>
    <n v="2"/>
    <s v="Wilhelms, Mr. Charles"/>
    <x v="0"/>
    <n v="31"/>
    <n v="0"/>
    <n v="0"/>
    <s v="244270"/>
    <n v="13"/>
    <x v="1"/>
    <x v="0"/>
    <n v="1"/>
    <x v="1"/>
    <x v="0"/>
    <x v="2"/>
    <n v="1"/>
  </r>
  <r>
    <n v="675"/>
    <n v="0"/>
    <n v="2"/>
    <s v="Watson, Mr. Ennis Hastings"/>
    <x v="0"/>
    <n v="26"/>
    <n v="0"/>
    <n v="0"/>
    <s v="239856"/>
    <n v="0"/>
    <x v="0"/>
    <x v="0"/>
    <n v="1"/>
    <x v="1"/>
    <x v="0"/>
    <x v="2"/>
    <n v="1"/>
  </r>
  <r>
    <n v="676"/>
    <n v="0"/>
    <n v="3"/>
    <s v="Edvardsson, Mr. Gustaf Hjalmar"/>
    <x v="0"/>
    <n v="18"/>
    <n v="0"/>
    <n v="0"/>
    <s v="349912"/>
    <n v="7.7750000000000004"/>
    <x v="0"/>
    <x v="0"/>
    <n v="1"/>
    <x v="1"/>
    <x v="0"/>
    <x v="0"/>
    <n v="1"/>
  </r>
  <r>
    <n v="677"/>
    <n v="0"/>
    <n v="3"/>
    <s v="Sawyer, Mr. Frederick Charles"/>
    <x v="0"/>
    <n v="24.5"/>
    <n v="0"/>
    <n v="0"/>
    <s v="342826"/>
    <n v="8.0500000000000007"/>
    <x v="0"/>
    <x v="0"/>
    <n v="1"/>
    <x v="1"/>
    <x v="0"/>
    <x v="0"/>
    <n v="1"/>
  </r>
  <r>
    <n v="678"/>
    <n v="1"/>
    <n v="3"/>
    <s v="Turja, Miss. Anna Sofia"/>
    <x v="1"/>
    <n v="18"/>
    <n v="0"/>
    <n v="0"/>
    <s v="4138"/>
    <n v="9.8416999999999994"/>
    <x v="1"/>
    <x v="0"/>
    <n v="1"/>
    <x v="1"/>
    <x v="0"/>
    <x v="0"/>
    <n v="2"/>
  </r>
  <r>
    <n v="679"/>
    <n v="0"/>
    <n v="3"/>
    <s v="Goodwin, Mrs. Frederick (Augusta Tyler)"/>
    <x v="1"/>
    <n v="43"/>
    <n v="1"/>
    <n v="6"/>
    <s v="CA 2144"/>
    <n v="46.9"/>
    <x v="0"/>
    <x v="1"/>
    <n v="8"/>
    <x v="2"/>
    <x v="1"/>
    <x v="0"/>
    <n v="2"/>
  </r>
  <r>
    <n v="680"/>
    <n v="1"/>
    <n v="1"/>
    <s v="Cardeza, Mr. Thomas Drake Martinez"/>
    <x v="0"/>
    <n v="36"/>
    <n v="0"/>
    <n v="1"/>
    <s v="PC 17755"/>
    <n v="512.32920000000001"/>
    <x v="1"/>
    <x v="1"/>
    <n v="2"/>
    <x v="0"/>
    <x v="2"/>
    <x v="1"/>
    <n v="1"/>
  </r>
  <r>
    <n v="681"/>
    <n v="0"/>
    <n v="3"/>
    <s v="Peters, Miss. Katie"/>
    <x v="1"/>
    <n v="26"/>
    <n v="0"/>
    <n v="0"/>
    <s v="330935"/>
    <n v="8.1374999999999993"/>
    <x v="0"/>
    <x v="0"/>
    <n v="1"/>
    <x v="1"/>
    <x v="0"/>
    <x v="0"/>
    <n v="2"/>
  </r>
  <r>
    <n v="682"/>
    <n v="1"/>
    <n v="1"/>
    <s v="Hassab, Mr. Hammad"/>
    <x v="0"/>
    <n v="27"/>
    <n v="0"/>
    <n v="0"/>
    <s v="PC 17572"/>
    <n v="76.729200000000006"/>
    <x v="1"/>
    <x v="0"/>
    <n v="1"/>
    <x v="1"/>
    <x v="1"/>
    <x v="1"/>
    <n v="1"/>
  </r>
  <r>
    <n v="683"/>
    <n v="0"/>
    <n v="3"/>
    <s v="Olsvigen, Mr. Thor Anderson"/>
    <x v="0"/>
    <n v="20"/>
    <n v="0"/>
    <n v="0"/>
    <s v="6563"/>
    <n v="9.2249999999999996"/>
    <x v="0"/>
    <x v="0"/>
    <n v="1"/>
    <x v="1"/>
    <x v="0"/>
    <x v="0"/>
    <n v="1"/>
  </r>
  <r>
    <n v="684"/>
    <n v="0"/>
    <n v="3"/>
    <s v="Goodwin, Mr. Charles Edward"/>
    <x v="0"/>
    <n v="14"/>
    <n v="5"/>
    <n v="2"/>
    <s v="CA 2144"/>
    <n v="46.9"/>
    <x v="0"/>
    <x v="2"/>
    <n v="8"/>
    <x v="2"/>
    <x v="1"/>
    <x v="0"/>
    <n v="1"/>
  </r>
  <r>
    <n v="685"/>
    <n v="0"/>
    <n v="2"/>
    <s v="Brown, Mr. Thomas William Solomon"/>
    <x v="0"/>
    <n v="60"/>
    <n v="1"/>
    <n v="1"/>
    <s v="29750"/>
    <n v="39"/>
    <x v="0"/>
    <x v="3"/>
    <n v="3"/>
    <x v="0"/>
    <x v="1"/>
    <x v="2"/>
    <n v="1"/>
  </r>
  <r>
    <n v="686"/>
    <n v="0"/>
    <n v="2"/>
    <s v="Laroche, Mr. Joseph Philippe Lemercier"/>
    <x v="0"/>
    <n v="25"/>
    <n v="1"/>
    <n v="2"/>
    <s v="SC/Paris 2123"/>
    <n v="41.5792"/>
    <x v="0"/>
    <x v="0"/>
    <n v="4"/>
    <x v="0"/>
    <x v="1"/>
    <x v="2"/>
    <n v="1"/>
  </r>
  <r>
    <n v="687"/>
    <n v="0"/>
    <n v="3"/>
    <s v="Panula, Mr. Jaako Arnold"/>
    <x v="0"/>
    <n v="14"/>
    <n v="4"/>
    <n v="1"/>
    <s v="3101295"/>
    <n v="39.6875"/>
    <x v="0"/>
    <x v="2"/>
    <n v="6"/>
    <x v="2"/>
    <x v="1"/>
    <x v="0"/>
    <n v="1"/>
  </r>
  <r>
    <n v="688"/>
    <n v="0"/>
    <n v="3"/>
    <s v="Dakic, Mr. Branko"/>
    <x v="0"/>
    <n v="19"/>
    <n v="0"/>
    <n v="0"/>
    <s v="349228"/>
    <n v="10.1708"/>
    <x v="0"/>
    <x v="0"/>
    <n v="1"/>
    <x v="1"/>
    <x v="0"/>
    <x v="0"/>
    <n v="1"/>
  </r>
  <r>
    <n v="689"/>
    <n v="0"/>
    <n v="3"/>
    <s v="Fischer, Mr. Eberhard Thelander"/>
    <x v="0"/>
    <n v="18"/>
    <n v="0"/>
    <n v="0"/>
    <s v="350036"/>
    <n v="7.7957999999999998"/>
    <x v="0"/>
    <x v="0"/>
    <n v="1"/>
    <x v="1"/>
    <x v="0"/>
    <x v="0"/>
    <n v="1"/>
  </r>
  <r>
    <n v="690"/>
    <n v="1"/>
    <n v="1"/>
    <s v="Madill, Miss. Georgette Alexandra"/>
    <x v="1"/>
    <n v="15"/>
    <n v="0"/>
    <n v="1"/>
    <s v="24160"/>
    <n v="211.33750000000001"/>
    <x v="1"/>
    <x v="2"/>
    <n v="2"/>
    <x v="0"/>
    <x v="2"/>
    <x v="1"/>
    <n v="2"/>
  </r>
  <r>
    <n v="691"/>
    <n v="1"/>
    <n v="1"/>
    <s v="Dick, Mr. Albert Adrian"/>
    <x v="0"/>
    <n v="31"/>
    <n v="1"/>
    <n v="0"/>
    <s v="17474"/>
    <n v="57"/>
    <x v="1"/>
    <x v="0"/>
    <n v="2"/>
    <x v="0"/>
    <x v="1"/>
    <x v="1"/>
    <n v="1"/>
  </r>
  <r>
    <n v="692"/>
    <n v="1"/>
    <n v="3"/>
    <s v="Karun, Miss. Manca"/>
    <x v="1"/>
    <n v="4"/>
    <n v="0"/>
    <n v="1"/>
    <s v="349256"/>
    <n v="13.416700000000001"/>
    <x v="1"/>
    <x v="2"/>
    <n v="2"/>
    <x v="0"/>
    <x v="0"/>
    <x v="0"/>
    <n v="2"/>
  </r>
  <r>
    <n v="693"/>
    <n v="1"/>
    <n v="3"/>
    <s v="Lam, Mr. Ali"/>
    <x v="0"/>
    <n v="26"/>
    <n v="0"/>
    <n v="0"/>
    <s v="1601"/>
    <n v="56.495800000000003"/>
    <x v="1"/>
    <x v="0"/>
    <n v="1"/>
    <x v="1"/>
    <x v="1"/>
    <x v="0"/>
    <n v="1"/>
  </r>
  <r>
    <n v="694"/>
    <n v="0"/>
    <n v="3"/>
    <s v="Saad, Mr. Khalil"/>
    <x v="0"/>
    <n v="25"/>
    <n v="0"/>
    <n v="0"/>
    <s v="2672"/>
    <n v="7.2249999999999996"/>
    <x v="0"/>
    <x v="0"/>
    <n v="1"/>
    <x v="1"/>
    <x v="0"/>
    <x v="0"/>
    <n v="1"/>
  </r>
  <r>
    <n v="695"/>
    <n v="0"/>
    <n v="1"/>
    <s v="Weir, Col. John"/>
    <x v="0"/>
    <n v="60"/>
    <n v="0"/>
    <n v="0"/>
    <s v="113800"/>
    <n v="26.55"/>
    <x v="0"/>
    <x v="3"/>
    <n v="1"/>
    <x v="1"/>
    <x v="1"/>
    <x v="1"/>
    <n v="1"/>
  </r>
  <r>
    <n v="696"/>
    <n v="0"/>
    <n v="2"/>
    <s v="Chapman, Mr. Charles Henry"/>
    <x v="0"/>
    <n v="52"/>
    <n v="0"/>
    <n v="0"/>
    <s v="248731"/>
    <n v="13.5"/>
    <x v="0"/>
    <x v="1"/>
    <n v="1"/>
    <x v="1"/>
    <x v="0"/>
    <x v="2"/>
    <n v="1"/>
  </r>
  <r>
    <n v="697"/>
    <n v="0"/>
    <n v="3"/>
    <s v="Kelly, Mr. James"/>
    <x v="0"/>
    <n v="44"/>
    <n v="0"/>
    <n v="0"/>
    <s v="363592"/>
    <n v="8.0500000000000007"/>
    <x v="0"/>
    <x v="1"/>
    <n v="1"/>
    <x v="1"/>
    <x v="0"/>
    <x v="0"/>
    <n v="1"/>
  </r>
  <r>
    <n v="698"/>
    <n v="1"/>
    <n v="3"/>
    <s v="Mullens, Miss. Katherine &quot;Katie&quot;"/>
    <x v="1"/>
    <n v="26"/>
    <n v="0"/>
    <n v="0"/>
    <s v="35852"/>
    <n v="7.7332999999999998"/>
    <x v="1"/>
    <x v="0"/>
    <n v="1"/>
    <x v="1"/>
    <x v="0"/>
    <x v="0"/>
    <n v="2"/>
  </r>
  <r>
    <n v="699"/>
    <n v="0"/>
    <n v="1"/>
    <s v="Thayer, Mr. John Borland"/>
    <x v="0"/>
    <n v="49"/>
    <n v="1"/>
    <n v="1"/>
    <s v="17421"/>
    <n v="110.88330000000001"/>
    <x v="0"/>
    <x v="1"/>
    <n v="3"/>
    <x v="0"/>
    <x v="2"/>
    <x v="1"/>
    <n v="1"/>
  </r>
  <r>
    <n v="700"/>
    <n v="0"/>
    <n v="3"/>
    <s v="Humblen, Mr. Adolf Mathias Nicolai Olsen"/>
    <x v="0"/>
    <n v="42"/>
    <n v="0"/>
    <n v="0"/>
    <s v="348121"/>
    <n v="7.65"/>
    <x v="0"/>
    <x v="1"/>
    <n v="1"/>
    <x v="1"/>
    <x v="0"/>
    <x v="0"/>
    <n v="1"/>
  </r>
  <r>
    <n v="701"/>
    <n v="1"/>
    <n v="1"/>
    <s v="Astor, Mrs. John Jacob (Madeleine Talmadge Force)"/>
    <x v="1"/>
    <n v="18"/>
    <n v="1"/>
    <n v="0"/>
    <s v="PC 17757"/>
    <n v="227.52500000000001"/>
    <x v="1"/>
    <x v="0"/>
    <n v="2"/>
    <x v="0"/>
    <x v="2"/>
    <x v="1"/>
    <n v="2"/>
  </r>
  <r>
    <n v="702"/>
    <n v="1"/>
    <n v="1"/>
    <s v="Silverthorne, Mr. Spencer Victor"/>
    <x v="0"/>
    <n v="35"/>
    <n v="0"/>
    <n v="0"/>
    <s v="PC 17475"/>
    <n v="26.287500000000001"/>
    <x v="1"/>
    <x v="1"/>
    <n v="1"/>
    <x v="1"/>
    <x v="1"/>
    <x v="1"/>
    <n v="1"/>
  </r>
  <r>
    <n v="703"/>
    <n v="0"/>
    <n v="3"/>
    <s v="Barbara, Miss. Saiide"/>
    <x v="1"/>
    <n v="18"/>
    <n v="0"/>
    <n v="1"/>
    <s v="2691"/>
    <n v="14.4542"/>
    <x v="0"/>
    <x v="0"/>
    <n v="2"/>
    <x v="0"/>
    <x v="0"/>
    <x v="0"/>
    <n v="2"/>
  </r>
  <r>
    <n v="704"/>
    <n v="0"/>
    <n v="3"/>
    <s v="Gallagher, Mr. Martin"/>
    <x v="0"/>
    <n v="25"/>
    <n v="0"/>
    <n v="0"/>
    <s v="36864"/>
    <n v="7.7416999999999998"/>
    <x v="0"/>
    <x v="0"/>
    <n v="1"/>
    <x v="1"/>
    <x v="0"/>
    <x v="0"/>
    <n v="1"/>
  </r>
  <r>
    <n v="705"/>
    <n v="0"/>
    <n v="3"/>
    <s v="Hansen, Mr. Henrik Juul"/>
    <x v="0"/>
    <n v="26"/>
    <n v="1"/>
    <n v="0"/>
    <s v="350025"/>
    <n v="7.8541999999999996"/>
    <x v="0"/>
    <x v="0"/>
    <n v="2"/>
    <x v="0"/>
    <x v="0"/>
    <x v="0"/>
    <n v="1"/>
  </r>
  <r>
    <n v="706"/>
    <n v="0"/>
    <n v="2"/>
    <s v="Morley, Mr. Henry Samuel (&quot;Mr Henry Marshall&quot;)"/>
    <x v="0"/>
    <n v="39"/>
    <n v="0"/>
    <n v="0"/>
    <s v="250655"/>
    <n v="26"/>
    <x v="0"/>
    <x v="1"/>
    <n v="1"/>
    <x v="1"/>
    <x v="1"/>
    <x v="2"/>
    <n v="1"/>
  </r>
  <r>
    <n v="707"/>
    <n v="1"/>
    <n v="2"/>
    <s v="Kelly, Mrs. Florence &quot;Fannie&quot;"/>
    <x v="1"/>
    <n v="45"/>
    <n v="0"/>
    <n v="0"/>
    <s v="223596"/>
    <n v="13.5"/>
    <x v="1"/>
    <x v="1"/>
    <n v="1"/>
    <x v="1"/>
    <x v="0"/>
    <x v="2"/>
    <n v="2"/>
  </r>
  <r>
    <n v="708"/>
    <n v="1"/>
    <n v="1"/>
    <s v="Calderhead, Mr. Edward Pennington"/>
    <x v="0"/>
    <n v="42"/>
    <n v="0"/>
    <n v="0"/>
    <s v="PC 17476"/>
    <n v="26.287500000000001"/>
    <x v="1"/>
    <x v="1"/>
    <n v="1"/>
    <x v="1"/>
    <x v="1"/>
    <x v="1"/>
    <n v="1"/>
  </r>
  <r>
    <n v="709"/>
    <n v="1"/>
    <n v="1"/>
    <s v="Cleaver, Miss. Alice"/>
    <x v="1"/>
    <n v="22"/>
    <n v="0"/>
    <n v="0"/>
    <s v="113781"/>
    <n v="151.55000000000001"/>
    <x v="1"/>
    <x v="0"/>
    <n v="1"/>
    <x v="1"/>
    <x v="2"/>
    <x v="1"/>
    <n v="2"/>
  </r>
  <r>
    <n v="710"/>
    <n v="1"/>
    <n v="3"/>
    <s v="Moubarek, Master. Halim Gonios (&quot;William George&quot;)"/>
    <x v="0"/>
    <n v="26"/>
    <n v="1"/>
    <n v="1"/>
    <s v="2661"/>
    <n v="15.245799999999999"/>
    <x v="1"/>
    <x v="0"/>
    <n v="3"/>
    <x v="0"/>
    <x v="0"/>
    <x v="0"/>
    <n v="1"/>
  </r>
  <r>
    <n v="711"/>
    <n v="1"/>
    <n v="1"/>
    <s v="Mayne, Mlle. Berthe Antonine (&quot;Mrs de Villiers&quot;)"/>
    <x v="1"/>
    <n v="24"/>
    <n v="0"/>
    <n v="0"/>
    <s v="PC 17482"/>
    <n v="49.504199999999997"/>
    <x v="1"/>
    <x v="0"/>
    <n v="1"/>
    <x v="1"/>
    <x v="1"/>
    <x v="1"/>
    <n v="2"/>
  </r>
  <r>
    <n v="712"/>
    <n v="0"/>
    <n v="1"/>
    <s v="Klaber, Mr. Herman"/>
    <x v="0"/>
    <n v="26"/>
    <n v="0"/>
    <n v="0"/>
    <s v="113028"/>
    <n v="26.55"/>
    <x v="0"/>
    <x v="0"/>
    <n v="1"/>
    <x v="1"/>
    <x v="1"/>
    <x v="1"/>
    <n v="1"/>
  </r>
  <r>
    <n v="713"/>
    <n v="1"/>
    <n v="1"/>
    <s v="Taylor, Mr. Elmer Zebley"/>
    <x v="0"/>
    <n v="48"/>
    <n v="1"/>
    <n v="0"/>
    <s v="19996"/>
    <n v="52"/>
    <x v="1"/>
    <x v="1"/>
    <n v="2"/>
    <x v="0"/>
    <x v="1"/>
    <x v="1"/>
    <n v="1"/>
  </r>
  <r>
    <n v="714"/>
    <n v="0"/>
    <n v="3"/>
    <s v="Larsson, Mr. August Viktor"/>
    <x v="0"/>
    <n v="29"/>
    <n v="0"/>
    <n v="0"/>
    <s v="7545"/>
    <n v="9.4832999999999998"/>
    <x v="0"/>
    <x v="0"/>
    <n v="1"/>
    <x v="1"/>
    <x v="0"/>
    <x v="0"/>
    <n v="1"/>
  </r>
  <r>
    <n v="715"/>
    <n v="0"/>
    <n v="2"/>
    <s v="Greenberg, Mr. Samuel"/>
    <x v="0"/>
    <n v="52"/>
    <n v="0"/>
    <n v="0"/>
    <s v="250647"/>
    <n v="13"/>
    <x v="0"/>
    <x v="1"/>
    <n v="1"/>
    <x v="1"/>
    <x v="0"/>
    <x v="2"/>
    <n v="1"/>
  </r>
  <r>
    <n v="716"/>
    <n v="0"/>
    <n v="3"/>
    <s v="Soholt, Mr. Peter Andreas Lauritz Andersen"/>
    <x v="0"/>
    <n v="19"/>
    <n v="0"/>
    <n v="0"/>
    <s v="348124"/>
    <n v="7.65"/>
    <x v="0"/>
    <x v="0"/>
    <n v="1"/>
    <x v="1"/>
    <x v="0"/>
    <x v="0"/>
    <n v="1"/>
  </r>
  <r>
    <n v="717"/>
    <n v="1"/>
    <n v="1"/>
    <s v="Endres, Miss. Caroline Louise"/>
    <x v="1"/>
    <n v="38"/>
    <n v="0"/>
    <n v="0"/>
    <s v="PC 17757"/>
    <n v="227.52500000000001"/>
    <x v="1"/>
    <x v="1"/>
    <n v="1"/>
    <x v="1"/>
    <x v="2"/>
    <x v="1"/>
    <n v="2"/>
  </r>
  <r>
    <n v="718"/>
    <n v="1"/>
    <n v="2"/>
    <s v="Troutt, Miss. Edwina Celia &quot;Winnie&quot;"/>
    <x v="1"/>
    <n v="27"/>
    <n v="0"/>
    <n v="0"/>
    <s v="34218"/>
    <n v="10.5"/>
    <x v="1"/>
    <x v="0"/>
    <n v="1"/>
    <x v="1"/>
    <x v="0"/>
    <x v="2"/>
    <n v="2"/>
  </r>
  <r>
    <n v="719"/>
    <n v="0"/>
    <n v="3"/>
    <s v="McEvoy, Mr. Michael"/>
    <x v="0"/>
    <n v="26"/>
    <n v="0"/>
    <n v="0"/>
    <s v="36568"/>
    <n v="15.5"/>
    <x v="0"/>
    <x v="0"/>
    <n v="1"/>
    <x v="1"/>
    <x v="0"/>
    <x v="0"/>
    <n v="1"/>
  </r>
  <r>
    <n v="720"/>
    <n v="0"/>
    <n v="3"/>
    <s v="Johnson, Mr. Malkolm Joackim"/>
    <x v="0"/>
    <n v="33"/>
    <n v="0"/>
    <n v="0"/>
    <s v="347062"/>
    <n v="7.7750000000000004"/>
    <x v="0"/>
    <x v="0"/>
    <n v="1"/>
    <x v="1"/>
    <x v="0"/>
    <x v="0"/>
    <n v="1"/>
  </r>
  <r>
    <n v="721"/>
    <n v="1"/>
    <n v="2"/>
    <s v="Harper, Miss. Annie Jessie &quot;Nina&quot;"/>
    <x v="1"/>
    <n v="6"/>
    <n v="0"/>
    <n v="1"/>
    <s v="248727"/>
    <n v="33"/>
    <x v="1"/>
    <x v="2"/>
    <n v="2"/>
    <x v="0"/>
    <x v="1"/>
    <x v="2"/>
    <n v="2"/>
  </r>
  <r>
    <n v="722"/>
    <n v="0"/>
    <n v="3"/>
    <s v="Jensen, Mr. Svend Lauritz"/>
    <x v="0"/>
    <n v="17"/>
    <n v="1"/>
    <n v="0"/>
    <s v="350048"/>
    <n v="7.0541999999999998"/>
    <x v="0"/>
    <x v="2"/>
    <n v="2"/>
    <x v="0"/>
    <x v="0"/>
    <x v="0"/>
    <n v="1"/>
  </r>
  <r>
    <n v="723"/>
    <n v="0"/>
    <n v="2"/>
    <s v="Gillespie, Mr. William Henry"/>
    <x v="0"/>
    <n v="34"/>
    <n v="0"/>
    <n v="0"/>
    <s v="12233"/>
    <n v="13"/>
    <x v="0"/>
    <x v="0"/>
    <n v="1"/>
    <x v="1"/>
    <x v="0"/>
    <x v="2"/>
    <n v="1"/>
  </r>
  <r>
    <n v="724"/>
    <n v="0"/>
    <n v="2"/>
    <s v="Hodges, Mr. Henry Price"/>
    <x v="0"/>
    <n v="50"/>
    <n v="0"/>
    <n v="0"/>
    <s v="250643"/>
    <n v="13"/>
    <x v="0"/>
    <x v="1"/>
    <n v="1"/>
    <x v="1"/>
    <x v="0"/>
    <x v="2"/>
    <n v="1"/>
  </r>
  <r>
    <n v="725"/>
    <n v="1"/>
    <n v="1"/>
    <s v="Chambers, Mr. Norman Campbell"/>
    <x v="0"/>
    <n v="27"/>
    <n v="1"/>
    <n v="0"/>
    <s v="113806"/>
    <n v="53.1"/>
    <x v="1"/>
    <x v="0"/>
    <n v="2"/>
    <x v="0"/>
    <x v="1"/>
    <x v="1"/>
    <n v="1"/>
  </r>
  <r>
    <n v="726"/>
    <n v="0"/>
    <n v="3"/>
    <s v="Oreskovic, Mr. Luka"/>
    <x v="0"/>
    <n v="20"/>
    <n v="0"/>
    <n v="0"/>
    <s v="315094"/>
    <n v="8.6624999999999996"/>
    <x v="0"/>
    <x v="0"/>
    <n v="1"/>
    <x v="1"/>
    <x v="0"/>
    <x v="0"/>
    <n v="1"/>
  </r>
  <r>
    <n v="727"/>
    <n v="1"/>
    <n v="2"/>
    <s v="Renouf, Mrs. Peter Henry (Lillian Jefferys)"/>
    <x v="1"/>
    <n v="30"/>
    <n v="3"/>
    <n v="0"/>
    <s v="31027"/>
    <n v="21"/>
    <x v="1"/>
    <x v="0"/>
    <n v="4"/>
    <x v="0"/>
    <x v="0"/>
    <x v="2"/>
    <n v="2"/>
  </r>
  <r>
    <n v="728"/>
    <n v="1"/>
    <n v="3"/>
    <s v="Mannion, Miss. Margareth"/>
    <x v="1"/>
    <n v="26"/>
    <n v="0"/>
    <n v="0"/>
    <s v="36866"/>
    <n v="7.7374999999999998"/>
    <x v="1"/>
    <x v="0"/>
    <n v="1"/>
    <x v="1"/>
    <x v="0"/>
    <x v="0"/>
    <n v="2"/>
  </r>
  <r>
    <n v="729"/>
    <n v="0"/>
    <n v="2"/>
    <s v="Bryhl, Mr. Kurt Arnold Gottfrid"/>
    <x v="0"/>
    <n v="25"/>
    <n v="1"/>
    <n v="0"/>
    <s v="236853"/>
    <n v="26"/>
    <x v="0"/>
    <x v="0"/>
    <n v="2"/>
    <x v="0"/>
    <x v="1"/>
    <x v="2"/>
    <n v="1"/>
  </r>
  <r>
    <n v="730"/>
    <n v="0"/>
    <n v="3"/>
    <s v="Ilmakangas, Miss. Pieta Sofia"/>
    <x v="1"/>
    <n v="25"/>
    <n v="1"/>
    <n v="0"/>
    <s v="STON/O2. 3101271"/>
    <n v="7.9249999999999998"/>
    <x v="0"/>
    <x v="0"/>
    <n v="2"/>
    <x v="0"/>
    <x v="0"/>
    <x v="0"/>
    <n v="2"/>
  </r>
  <r>
    <n v="731"/>
    <n v="1"/>
    <n v="1"/>
    <s v="Allen, Miss. Elisabeth Walton"/>
    <x v="1"/>
    <n v="29"/>
    <n v="0"/>
    <n v="0"/>
    <s v="24160"/>
    <n v="211.33750000000001"/>
    <x v="1"/>
    <x v="0"/>
    <n v="1"/>
    <x v="1"/>
    <x v="2"/>
    <x v="1"/>
    <n v="2"/>
  </r>
  <r>
    <n v="732"/>
    <n v="0"/>
    <n v="3"/>
    <s v="Hassan, Mr. Houssein G N"/>
    <x v="0"/>
    <n v="11"/>
    <n v="0"/>
    <n v="0"/>
    <s v="2699"/>
    <n v="18.787500000000001"/>
    <x v="0"/>
    <x v="2"/>
    <n v="1"/>
    <x v="1"/>
    <x v="0"/>
    <x v="0"/>
    <n v="1"/>
  </r>
  <r>
    <n v="733"/>
    <n v="0"/>
    <n v="2"/>
    <s v="Knight, Mr. Robert J"/>
    <x v="0"/>
    <n v="26"/>
    <n v="0"/>
    <n v="0"/>
    <s v="239855"/>
    <n v="0"/>
    <x v="0"/>
    <x v="0"/>
    <n v="1"/>
    <x v="1"/>
    <x v="0"/>
    <x v="2"/>
    <n v="1"/>
  </r>
  <r>
    <n v="734"/>
    <n v="0"/>
    <n v="2"/>
    <s v="Berriman, Mr. William John"/>
    <x v="0"/>
    <n v="23"/>
    <n v="0"/>
    <n v="0"/>
    <s v="28425"/>
    <n v="13"/>
    <x v="0"/>
    <x v="0"/>
    <n v="1"/>
    <x v="1"/>
    <x v="0"/>
    <x v="2"/>
    <n v="1"/>
  </r>
  <r>
    <n v="735"/>
    <n v="0"/>
    <n v="2"/>
    <s v="Troupiansky, Mr. Moses Aaron"/>
    <x v="0"/>
    <n v="23"/>
    <n v="0"/>
    <n v="0"/>
    <s v="233639"/>
    <n v="13"/>
    <x v="0"/>
    <x v="0"/>
    <n v="1"/>
    <x v="1"/>
    <x v="0"/>
    <x v="2"/>
    <n v="1"/>
  </r>
  <r>
    <n v="736"/>
    <n v="0"/>
    <n v="3"/>
    <s v="Williams, Mr. Leslie"/>
    <x v="0"/>
    <n v="28.5"/>
    <n v="0"/>
    <n v="0"/>
    <s v="54636"/>
    <n v="16.100000000000001"/>
    <x v="0"/>
    <x v="0"/>
    <n v="1"/>
    <x v="1"/>
    <x v="0"/>
    <x v="0"/>
    <n v="1"/>
  </r>
  <r>
    <n v="737"/>
    <n v="0"/>
    <n v="3"/>
    <s v="Ford, Mrs. Edward (Margaret Ann Watson)"/>
    <x v="1"/>
    <n v="48"/>
    <n v="1"/>
    <n v="3"/>
    <s v="W./C. 6608"/>
    <n v="34.375"/>
    <x v="0"/>
    <x v="1"/>
    <n v="5"/>
    <x v="2"/>
    <x v="1"/>
    <x v="0"/>
    <n v="2"/>
  </r>
  <r>
    <n v="738"/>
    <n v="1"/>
    <n v="1"/>
    <s v="Lesurer, Mr. Gustave J"/>
    <x v="0"/>
    <n v="35"/>
    <n v="0"/>
    <n v="0"/>
    <s v="PC 17755"/>
    <n v="512.32920000000001"/>
    <x v="1"/>
    <x v="1"/>
    <n v="1"/>
    <x v="1"/>
    <x v="2"/>
    <x v="1"/>
    <n v="1"/>
  </r>
  <r>
    <n v="739"/>
    <n v="0"/>
    <n v="3"/>
    <s v="Ivanoff, Mr. Kanio"/>
    <x v="0"/>
    <n v="26"/>
    <n v="0"/>
    <n v="0"/>
    <s v="349201"/>
    <n v="7.8958000000000004"/>
    <x v="0"/>
    <x v="0"/>
    <n v="1"/>
    <x v="1"/>
    <x v="0"/>
    <x v="0"/>
    <n v="1"/>
  </r>
  <r>
    <n v="740"/>
    <n v="0"/>
    <n v="3"/>
    <s v="Nankoff, Mr. Minko"/>
    <x v="0"/>
    <n v="26"/>
    <n v="0"/>
    <n v="0"/>
    <s v="349218"/>
    <n v="7.8958000000000004"/>
    <x v="0"/>
    <x v="0"/>
    <n v="1"/>
    <x v="1"/>
    <x v="0"/>
    <x v="0"/>
    <n v="1"/>
  </r>
  <r>
    <n v="741"/>
    <n v="1"/>
    <n v="1"/>
    <s v="Hawksford, Mr. Walter James"/>
    <x v="0"/>
    <n v="26"/>
    <n v="0"/>
    <n v="0"/>
    <s v="16988"/>
    <n v="30"/>
    <x v="1"/>
    <x v="0"/>
    <n v="1"/>
    <x v="1"/>
    <x v="1"/>
    <x v="1"/>
    <n v="1"/>
  </r>
  <r>
    <n v="742"/>
    <n v="0"/>
    <n v="1"/>
    <s v="Cavendish, Mr. Tyrell William"/>
    <x v="0"/>
    <n v="36"/>
    <n v="1"/>
    <n v="0"/>
    <s v="19877"/>
    <n v="78.849999999999994"/>
    <x v="0"/>
    <x v="1"/>
    <n v="2"/>
    <x v="0"/>
    <x v="1"/>
    <x v="1"/>
    <n v="1"/>
  </r>
  <r>
    <n v="743"/>
    <n v="1"/>
    <n v="1"/>
    <s v="Ryerson, Miss. Susan Parker &quot;Suzette&quot;"/>
    <x v="1"/>
    <n v="21"/>
    <n v="2"/>
    <n v="2"/>
    <s v="PC 17608"/>
    <n v="262.375"/>
    <x v="1"/>
    <x v="0"/>
    <n v="5"/>
    <x v="2"/>
    <x v="2"/>
    <x v="1"/>
    <n v="2"/>
  </r>
  <r>
    <n v="744"/>
    <n v="0"/>
    <n v="3"/>
    <s v="McNamee, Mr. Neal"/>
    <x v="0"/>
    <n v="24"/>
    <n v="1"/>
    <n v="0"/>
    <s v="376566"/>
    <n v="16.100000000000001"/>
    <x v="0"/>
    <x v="0"/>
    <n v="2"/>
    <x v="0"/>
    <x v="0"/>
    <x v="0"/>
    <n v="1"/>
  </r>
  <r>
    <n v="745"/>
    <n v="1"/>
    <n v="3"/>
    <s v="Stranden, Mr. Juho"/>
    <x v="0"/>
    <n v="31"/>
    <n v="0"/>
    <n v="0"/>
    <s v="STON/O 2. 3101288"/>
    <n v="7.9249999999999998"/>
    <x v="1"/>
    <x v="0"/>
    <n v="1"/>
    <x v="1"/>
    <x v="0"/>
    <x v="0"/>
    <n v="1"/>
  </r>
  <r>
    <n v="746"/>
    <n v="0"/>
    <n v="1"/>
    <s v="Crosby, Capt. Edward Gifford"/>
    <x v="0"/>
    <n v="70"/>
    <n v="1"/>
    <n v="1"/>
    <s v="WE/P 5735"/>
    <n v="71"/>
    <x v="0"/>
    <x v="3"/>
    <n v="3"/>
    <x v="0"/>
    <x v="1"/>
    <x v="1"/>
    <n v="1"/>
  </r>
  <r>
    <n v="747"/>
    <n v="0"/>
    <n v="3"/>
    <s v="Abbott, Mr. Rossmore Edward"/>
    <x v="0"/>
    <n v="16"/>
    <n v="1"/>
    <n v="1"/>
    <s v="C.A. 2673"/>
    <n v="20.25"/>
    <x v="0"/>
    <x v="2"/>
    <n v="3"/>
    <x v="0"/>
    <x v="0"/>
    <x v="0"/>
    <n v="1"/>
  </r>
  <r>
    <n v="748"/>
    <n v="1"/>
    <n v="2"/>
    <s v="Sinkkonen, Miss. Anna"/>
    <x v="1"/>
    <n v="30"/>
    <n v="0"/>
    <n v="0"/>
    <s v="250648"/>
    <n v="13"/>
    <x v="1"/>
    <x v="0"/>
    <n v="1"/>
    <x v="1"/>
    <x v="0"/>
    <x v="2"/>
    <n v="2"/>
  </r>
  <r>
    <n v="749"/>
    <n v="0"/>
    <n v="1"/>
    <s v="Marvin, Mr. Daniel Warner"/>
    <x v="0"/>
    <n v="19"/>
    <n v="1"/>
    <n v="0"/>
    <s v="113773"/>
    <n v="53.1"/>
    <x v="0"/>
    <x v="0"/>
    <n v="2"/>
    <x v="0"/>
    <x v="1"/>
    <x v="1"/>
    <n v="1"/>
  </r>
  <r>
    <n v="750"/>
    <n v="0"/>
    <n v="3"/>
    <s v="Connaghton, Mr. Michael"/>
    <x v="0"/>
    <n v="31"/>
    <n v="0"/>
    <n v="0"/>
    <s v="335097"/>
    <n v="7.75"/>
    <x v="0"/>
    <x v="0"/>
    <n v="1"/>
    <x v="1"/>
    <x v="0"/>
    <x v="0"/>
    <n v="1"/>
  </r>
  <r>
    <n v="751"/>
    <n v="1"/>
    <n v="2"/>
    <s v="Wells, Miss. Joan"/>
    <x v="1"/>
    <n v="4"/>
    <n v="1"/>
    <n v="1"/>
    <s v="29103"/>
    <n v="23"/>
    <x v="1"/>
    <x v="2"/>
    <n v="3"/>
    <x v="0"/>
    <x v="0"/>
    <x v="2"/>
    <n v="2"/>
  </r>
  <r>
    <n v="752"/>
    <n v="1"/>
    <n v="3"/>
    <s v="Moor, Master. Meier"/>
    <x v="0"/>
    <n v="6"/>
    <n v="0"/>
    <n v="1"/>
    <s v="392096"/>
    <n v="12.475"/>
    <x v="1"/>
    <x v="2"/>
    <n v="2"/>
    <x v="0"/>
    <x v="0"/>
    <x v="0"/>
    <n v="1"/>
  </r>
  <r>
    <n v="753"/>
    <n v="0"/>
    <n v="3"/>
    <s v="Vande Velde, Mr. Johannes Joseph"/>
    <x v="0"/>
    <n v="33"/>
    <n v="0"/>
    <n v="0"/>
    <s v="345780"/>
    <n v="9.5"/>
    <x v="0"/>
    <x v="0"/>
    <n v="1"/>
    <x v="1"/>
    <x v="0"/>
    <x v="0"/>
    <n v="1"/>
  </r>
  <r>
    <n v="754"/>
    <n v="0"/>
    <n v="3"/>
    <s v="Jonkoff, Mr. Lalio"/>
    <x v="0"/>
    <n v="23"/>
    <n v="0"/>
    <n v="0"/>
    <s v="349204"/>
    <n v="7.8958000000000004"/>
    <x v="0"/>
    <x v="0"/>
    <n v="1"/>
    <x v="1"/>
    <x v="0"/>
    <x v="0"/>
    <n v="1"/>
  </r>
  <r>
    <n v="755"/>
    <n v="1"/>
    <n v="2"/>
    <s v="Herman, Mrs. Samuel (Jane Laver)"/>
    <x v="1"/>
    <n v="48"/>
    <n v="1"/>
    <n v="2"/>
    <s v="220845"/>
    <n v="65"/>
    <x v="1"/>
    <x v="1"/>
    <n v="4"/>
    <x v="0"/>
    <x v="1"/>
    <x v="2"/>
    <n v="2"/>
  </r>
  <r>
    <n v="756"/>
    <n v="1"/>
    <n v="2"/>
    <s v="Hamalainen, Master. Viljo"/>
    <x v="0"/>
    <n v="0.67"/>
    <n v="1"/>
    <n v="1"/>
    <s v="250649"/>
    <n v="14.5"/>
    <x v="1"/>
    <x v="2"/>
    <n v="3"/>
    <x v="0"/>
    <x v="0"/>
    <x v="2"/>
    <n v="1"/>
  </r>
  <r>
    <n v="757"/>
    <n v="0"/>
    <n v="3"/>
    <s v="Carlsson, Mr. August Sigfrid"/>
    <x v="0"/>
    <n v="28"/>
    <n v="0"/>
    <n v="0"/>
    <s v="350042"/>
    <n v="7.7957999999999998"/>
    <x v="0"/>
    <x v="0"/>
    <n v="1"/>
    <x v="1"/>
    <x v="0"/>
    <x v="0"/>
    <n v="1"/>
  </r>
  <r>
    <n v="758"/>
    <n v="0"/>
    <n v="2"/>
    <s v="Bailey, Mr. Percy Andrew"/>
    <x v="0"/>
    <n v="18"/>
    <n v="0"/>
    <n v="0"/>
    <s v="29108"/>
    <n v="11.5"/>
    <x v="0"/>
    <x v="0"/>
    <n v="1"/>
    <x v="1"/>
    <x v="0"/>
    <x v="2"/>
    <n v="1"/>
  </r>
  <r>
    <n v="759"/>
    <n v="0"/>
    <n v="3"/>
    <s v="Theobald, Mr. Thomas Leonard"/>
    <x v="0"/>
    <n v="34"/>
    <n v="0"/>
    <n v="0"/>
    <s v="363294"/>
    <n v="8.0500000000000007"/>
    <x v="0"/>
    <x v="0"/>
    <n v="1"/>
    <x v="1"/>
    <x v="0"/>
    <x v="0"/>
    <n v="1"/>
  </r>
  <r>
    <n v="760"/>
    <n v="1"/>
    <n v="1"/>
    <s v="Rothes, the Countess. of (Lucy Noel Martha Dyer-Edwards)"/>
    <x v="1"/>
    <n v="33"/>
    <n v="0"/>
    <n v="0"/>
    <s v="110152"/>
    <n v="86.5"/>
    <x v="1"/>
    <x v="0"/>
    <n v="1"/>
    <x v="1"/>
    <x v="1"/>
    <x v="1"/>
    <n v="2"/>
  </r>
  <r>
    <n v="761"/>
    <n v="0"/>
    <n v="3"/>
    <s v="Garfirth, Mr. John"/>
    <x v="0"/>
    <n v="26"/>
    <n v="0"/>
    <n v="0"/>
    <s v="358585"/>
    <n v="14.5"/>
    <x v="0"/>
    <x v="0"/>
    <n v="1"/>
    <x v="1"/>
    <x v="0"/>
    <x v="0"/>
    <n v="1"/>
  </r>
  <r>
    <n v="762"/>
    <n v="0"/>
    <n v="3"/>
    <s v="Nirva, Mr. Iisakki Antino Aijo"/>
    <x v="0"/>
    <n v="41"/>
    <n v="0"/>
    <n v="0"/>
    <s v="SOTON/O2 3101272"/>
    <n v="7.125"/>
    <x v="0"/>
    <x v="1"/>
    <n v="1"/>
    <x v="1"/>
    <x v="0"/>
    <x v="0"/>
    <n v="1"/>
  </r>
  <r>
    <n v="763"/>
    <n v="1"/>
    <n v="3"/>
    <s v="Barah, Mr. Hanna Assi"/>
    <x v="0"/>
    <n v="20"/>
    <n v="0"/>
    <n v="0"/>
    <s v="2663"/>
    <n v="7.2291999999999996"/>
    <x v="1"/>
    <x v="0"/>
    <n v="1"/>
    <x v="1"/>
    <x v="0"/>
    <x v="0"/>
    <n v="1"/>
  </r>
  <r>
    <n v="764"/>
    <n v="1"/>
    <n v="1"/>
    <s v="Carter, Mrs. William Ernest (Lucile Polk)"/>
    <x v="1"/>
    <n v="36"/>
    <n v="1"/>
    <n v="2"/>
    <s v="113760"/>
    <n v="120"/>
    <x v="1"/>
    <x v="1"/>
    <n v="4"/>
    <x v="0"/>
    <x v="2"/>
    <x v="1"/>
    <n v="2"/>
  </r>
  <r>
    <n v="765"/>
    <n v="0"/>
    <n v="3"/>
    <s v="Eklund, Mr. Hans Linus"/>
    <x v="0"/>
    <n v="16"/>
    <n v="0"/>
    <n v="0"/>
    <s v="347074"/>
    <n v="7.7750000000000004"/>
    <x v="0"/>
    <x v="2"/>
    <n v="1"/>
    <x v="1"/>
    <x v="0"/>
    <x v="0"/>
    <n v="1"/>
  </r>
  <r>
    <n v="766"/>
    <n v="1"/>
    <n v="1"/>
    <s v="Hogeboom, Mrs. John C (Anna Andrews)"/>
    <x v="1"/>
    <n v="51"/>
    <n v="1"/>
    <n v="0"/>
    <s v="13502"/>
    <n v="77.958299999999994"/>
    <x v="1"/>
    <x v="1"/>
    <n v="2"/>
    <x v="0"/>
    <x v="1"/>
    <x v="1"/>
    <n v="2"/>
  </r>
  <r>
    <n v="767"/>
    <n v="0"/>
    <n v="1"/>
    <s v="Brewe, Dr. Arthur Jackson"/>
    <x v="0"/>
    <n v="26"/>
    <n v="0"/>
    <n v="0"/>
    <s v="112379"/>
    <n v="39.6"/>
    <x v="0"/>
    <x v="0"/>
    <n v="1"/>
    <x v="1"/>
    <x v="1"/>
    <x v="1"/>
    <n v="1"/>
  </r>
  <r>
    <n v="768"/>
    <n v="0"/>
    <n v="3"/>
    <s v="Mangan, Miss. Mary"/>
    <x v="1"/>
    <n v="30.5"/>
    <n v="0"/>
    <n v="0"/>
    <s v="364850"/>
    <n v="7.75"/>
    <x v="0"/>
    <x v="0"/>
    <n v="1"/>
    <x v="1"/>
    <x v="0"/>
    <x v="0"/>
    <n v="2"/>
  </r>
  <r>
    <n v="769"/>
    <n v="0"/>
    <n v="3"/>
    <s v="Moran, Mr. Daniel J"/>
    <x v="0"/>
    <n v="26"/>
    <n v="1"/>
    <n v="0"/>
    <s v="371110"/>
    <n v="24.15"/>
    <x v="0"/>
    <x v="0"/>
    <n v="2"/>
    <x v="0"/>
    <x v="0"/>
    <x v="0"/>
    <n v="1"/>
  </r>
  <r>
    <n v="770"/>
    <n v="0"/>
    <n v="3"/>
    <s v="Gronnestad, Mr. Daniel Danielsen"/>
    <x v="0"/>
    <n v="32"/>
    <n v="0"/>
    <n v="0"/>
    <s v="8471"/>
    <n v="8.3625000000000007"/>
    <x v="0"/>
    <x v="0"/>
    <n v="1"/>
    <x v="1"/>
    <x v="0"/>
    <x v="0"/>
    <n v="1"/>
  </r>
  <r>
    <n v="771"/>
    <n v="0"/>
    <n v="3"/>
    <s v="Lievens, Mr. Rene Aime"/>
    <x v="0"/>
    <n v="24"/>
    <n v="0"/>
    <n v="0"/>
    <s v="345781"/>
    <n v="9.5"/>
    <x v="0"/>
    <x v="0"/>
    <n v="1"/>
    <x v="1"/>
    <x v="0"/>
    <x v="0"/>
    <n v="1"/>
  </r>
  <r>
    <n v="772"/>
    <n v="0"/>
    <n v="3"/>
    <s v="Jensen, Mr. Niels Peder"/>
    <x v="0"/>
    <n v="48"/>
    <n v="0"/>
    <n v="0"/>
    <s v="350047"/>
    <n v="7.8541999999999996"/>
    <x v="0"/>
    <x v="1"/>
    <n v="1"/>
    <x v="1"/>
    <x v="0"/>
    <x v="0"/>
    <n v="1"/>
  </r>
  <r>
    <n v="773"/>
    <n v="0"/>
    <n v="2"/>
    <s v="Mack, Mrs. (Mary)"/>
    <x v="1"/>
    <n v="57"/>
    <n v="0"/>
    <n v="0"/>
    <s v="S.O./P.P. 3"/>
    <n v="10.5"/>
    <x v="0"/>
    <x v="1"/>
    <n v="1"/>
    <x v="1"/>
    <x v="0"/>
    <x v="2"/>
    <n v="2"/>
  </r>
  <r>
    <n v="774"/>
    <n v="0"/>
    <n v="3"/>
    <s v="Elias, Mr. Dibo"/>
    <x v="0"/>
    <n v="26"/>
    <n v="0"/>
    <n v="0"/>
    <s v="2674"/>
    <n v="7.2249999999999996"/>
    <x v="0"/>
    <x v="0"/>
    <n v="1"/>
    <x v="1"/>
    <x v="0"/>
    <x v="0"/>
    <n v="1"/>
  </r>
  <r>
    <n v="775"/>
    <n v="1"/>
    <n v="2"/>
    <s v="Hocking, Mrs. Elizabeth (Eliza Needs)"/>
    <x v="1"/>
    <n v="54"/>
    <n v="1"/>
    <n v="3"/>
    <s v="29105"/>
    <n v="23"/>
    <x v="1"/>
    <x v="1"/>
    <n v="5"/>
    <x v="2"/>
    <x v="0"/>
    <x v="2"/>
    <n v="2"/>
  </r>
  <r>
    <n v="776"/>
    <n v="0"/>
    <n v="3"/>
    <s v="Myhrman, Mr. Pehr Fabian Oliver Malkolm"/>
    <x v="0"/>
    <n v="18"/>
    <n v="0"/>
    <n v="0"/>
    <s v="347078"/>
    <n v="7.75"/>
    <x v="0"/>
    <x v="0"/>
    <n v="1"/>
    <x v="1"/>
    <x v="0"/>
    <x v="0"/>
    <n v="1"/>
  </r>
  <r>
    <n v="777"/>
    <n v="0"/>
    <n v="3"/>
    <s v="Tobin, Mr. Roger"/>
    <x v="0"/>
    <n v="26"/>
    <n v="0"/>
    <n v="0"/>
    <s v="383121"/>
    <n v="7.75"/>
    <x v="0"/>
    <x v="0"/>
    <n v="1"/>
    <x v="1"/>
    <x v="0"/>
    <x v="0"/>
    <n v="1"/>
  </r>
  <r>
    <n v="778"/>
    <n v="1"/>
    <n v="3"/>
    <s v="Emanuel, Miss. Virginia Ethel"/>
    <x v="1"/>
    <n v="5"/>
    <n v="0"/>
    <n v="0"/>
    <s v="364516"/>
    <n v="12.475"/>
    <x v="1"/>
    <x v="2"/>
    <n v="1"/>
    <x v="1"/>
    <x v="0"/>
    <x v="0"/>
    <n v="2"/>
  </r>
  <r>
    <n v="779"/>
    <n v="0"/>
    <n v="3"/>
    <s v="Kilgannon, Mr. Thomas J"/>
    <x v="0"/>
    <n v="26"/>
    <n v="0"/>
    <n v="0"/>
    <s v="36865"/>
    <n v="7.7374999999999998"/>
    <x v="0"/>
    <x v="0"/>
    <n v="1"/>
    <x v="1"/>
    <x v="0"/>
    <x v="0"/>
    <n v="1"/>
  </r>
  <r>
    <n v="780"/>
    <n v="1"/>
    <n v="1"/>
    <s v="Robert, Mrs. Edward Scott (Elisabeth Walton McMillan)"/>
    <x v="1"/>
    <n v="43"/>
    <n v="0"/>
    <n v="1"/>
    <s v="24160"/>
    <n v="211.33750000000001"/>
    <x v="1"/>
    <x v="1"/>
    <n v="2"/>
    <x v="0"/>
    <x v="2"/>
    <x v="1"/>
    <n v="2"/>
  </r>
  <r>
    <n v="781"/>
    <n v="1"/>
    <n v="3"/>
    <s v="Ayoub, Miss. Banoura"/>
    <x v="1"/>
    <n v="13"/>
    <n v="0"/>
    <n v="0"/>
    <s v="2687"/>
    <n v="7.2291999999999996"/>
    <x v="1"/>
    <x v="2"/>
    <n v="1"/>
    <x v="1"/>
    <x v="0"/>
    <x v="0"/>
    <n v="2"/>
  </r>
  <r>
    <n v="782"/>
    <n v="1"/>
    <n v="1"/>
    <s v="Dick, Mrs. Albert Adrian (Vera Gillespie)"/>
    <x v="1"/>
    <n v="17"/>
    <n v="1"/>
    <n v="0"/>
    <s v="17474"/>
    <n v="57"/>
    <x v="1"/>
    <x v="2"/>
    <n v="2"/>
    <x v="0"/>
    <x v="1"/>
    <x v="1"/>
    <n v="2"/>
  </r>
  <r>
    <n v="783"/>
    <n v="0"/>
    <n v="1"/>
    <s v="Long, Mr. Milton Clyde"/>
    <x v="0"/>
    <n v="29"/>
    <n v="0"/>
    <n v="0"/>
    <s v="113501"/>
    <n v="30"/>
    <x v="0"/>
    <x v="0"/>
    <n v="1"/>
    <x v="1"/>
    <x v="1"/>
    <x v="1"/>
    <n v="1"/>
  </r>
  <r>
    <n v="784"/>
    <n v="0"/>
    <n v="3"/>
    <s v="Johnston, Mr. Andrew G"/>
    <x v="0"/>
    <n v="26"/>
    <n v="1"/>
    <n v="2"/>
    <s v="W./C. 6607"/>
    <n v="23.45"/>
    <x v="0"/>
    <x v="0"/>
    <n v="4"/>
    <x v="0"/>
    <x v="0"/>
    <x v="0"/>
    <n v="1"/>
  </r>
  <r>
    <n v="785"/>
    <n v="0"/>
    <n v="3"/>
    <s v="Ali, Mr. William"/>
    <x v="0"/>
    <n v="25"/>
    <n v="0"/>
    <n v="0"/>
    <s v="SOTON/O.Q. 3101312"/>
    <n v="7.05"/>
    <x v="0"/>
    <x v="0"/>
    <n v="1"/>
    <x v="1"/>
    <x v="0"/>
    <x v="0"/>
    <n v="1"/>
  </r>
  <r>
    <n v="786"/>
    <n v="0"/>
    <n v="3"/>
    <s v="Harmer, Mr. Abraham (David Lishin)"/>
    <x v="0"/>
    <n v="25"/>
    <n v="0"/>
    <n v="0"/>
    <s v="374887"/>
    <n v="7.25"/>
    <x v="0"/>
    <x v="0"/>
    <n v="1"/>
    <x v="1"/>
    <x v="0"/>
    <x v="0"/>
    <n v="1"/>
  </r>
  <r>
    <n v="787"/>
    <n v="1"/>
    <n v="3"/>
    <s v="Sjoblom, Miss. Anna Sofia"/>
    <x v="1"/>
    <n v="18"/>
    <n v="0"/>
    <n v="0"/>
    <s v="3101265"/>
    <n v="7.4958"/>
    <x v="1"/>
    <x v="0"/>
    <n v="1"/>
    <x v="1"/>
    <x v="0"/>
    <x v="0"/>
    <n v="2"/>
  </r>
  <r>
    <n v="788"/>
    <n v="0"/>
    <n v="3"/>
    <s v="Rice, Master. George Hugh"/>
    <x v="0"/>
    <n v="8"/>
    <n v="4"/>
    <n v="1"/>
    <s v="382652"/>
    <n v="29.125"/>
    <x v="0"/>
    <x v="2"/>
    <n v="6"/>
    <x v="2"/>
    <x v="1"/>
    <x v="0"/>
    <n v="1"/>
  </r>
  <r>
    <n v="789"/>
    <n v="1"/>
    <n v="3"/>
    <s v="Dean, Master. Bertram Vere"/>
    <x v="0"/>
    <n v="1"/>
    <n v="1"/>
    <n v="2"/>
    <s v="C.A. 2315"/>
    <n v="20.574999999999999"/>
    <x v="1"/>
    <x v="2"/>
    <n v="4"/>
    <x v="0"/>
    <x v="0"/>
    <x v="0"/>
    <n v="1"/>
  </r>
  <r>
    <n v="790"/>
    <n v="0"/>
    <n v="1"/>
    <s v="Guggenheim, Mr. Benjamin"/>
    <x v="0"/>
    <n v="46"/>
    <n v="0"/>
    <n v="0"/>
    <s v="PC 17593"/>
    <n v="79.2"/>
    <x v="0"/>
    <x v="1"/>
    <n v="1"/>
    <x v="1"/>
    <x v="1"/>
    <x v="1"/>
    <n v="1"/>
  </r>
  <r>
    <n v="791"/>
    <n v="0"/>
    <n v="3"/>
    <s v="Keane, Mr. Andrew &quot;Andy&quot;"/>
    <x v="0"/>
    <n v="26"/>
    <n v="0"/>
    <n v="0"/>
    <s v="12460"/>
    <n v="7.75"/>
    <x v="0"/>
    <x v="0"/>
    <n v="1"/>
    <x v="1"/>
    <x v="0"/>
    <x v="0"/>
    <n v="1"/>
  </r>
  <r>
    <n v="792"/>
    <n v="0"/>
    <n v="2"/>
    <s v="Gaskell, Mr. Alfred"/>
    <x v="0"/>
    <n v="16"/>
    <n v="0"/>
    <n v="0"/>
    <s v="239865"/>
    <n v="26"/>
    <x v="0"/>
    <x v="2"/>
    <n v="1"/>
    <x v="1"/>
    <x v="1"/>
    <x v="2"/>
    <n v="1"/>
  </r>
  <r>
    <n v="793"/>
    <n v="0"/>
    <n v="3"/>
    <s v="Sage, Miss. Stella Anna"/>
    <x v="1"/>
    <n v="26"/>
    <n v="8"/>
    <n v="2"/>
    <s v="CA. 2343"/>
    <n v="69.55"/>
    <x v="0"/>
    <x v="0"/>
    <n v="11"/>
    <x v="2"/>
    <x v="1"/>
    <x v="0"/>
    <n v="2"/>
  </r>
  <r>
    <n v="794"/>
    <n v="0"/>
    <n v="1"/>
    <s v="Hoyt, Mr. William Fisher"/>
    <x v="0"/>
    <n v="26"/>
    <n v="0"/>
    <n v="0"/>
    <s v="PC 17600"/>
    <n v="30.695799999999998"/>
    <x v="0"/>
    <x v="0"/>
    <n v="1"/>
    <x v="1"/>
    <x v="1"/>
    <x v="1"/>
    <n v="1"/>
  </r>
  <r>
    <n v="795"/>
    <n v="0"/>
    <n v="3"/>
    <s v="Dantcheff, Mr. Ristiu"/>
    <x v="0"/>
    <n v="25"/>
    <n v="0"/>
    <n v="0"/>
    <s v="349203"/>
    <n v="7.8958000000000004"/>
    <x v="0"/>
    <x v="0"/>
    <n v="1"/>
    <x v="1"/>
    <x v="0"/>
    <x v="0"/>
    <n v="1"/>
  </r>
  <r>
    <n v="796"/>
    <n v="0"/>
    <n v="2"/>
    <s v="Otter, Mr. Richard"/>
    <x v="0"/>
    <n v="39"/>
    <n v="0"/>
    <n v="0"/>
    <s v="28213"/>
    <n v="13"/>
    <x v="0"/>
    <x v="1"/>
    <n v="1"/>
    <x v="1"/>
    <x v="0"/>
    <x v="2"/>
    <n v="1"/>
  </r>
  <r>
    <n v="797"/>
    <n v="1"/>
    <n v="1"/>
    <s v="Leader, Dr. Alice (Farnham)"/>
    <x v="1"/>
    <n v="49"/>
    <n v="0"/>
    <n v="0"/>
    <s v="17465"/>
    <n v="25.929200000000002"/>
    <x v="1"/>
    <x v="1"/>
    <n v="1"/>
    <x v="1"/>
    <x v="1"/>
    <x v="1"/>
    <n v="2"/>
  </r>
  <r>
    <n v="798"/>
    <n v="1"/>
    <n v="3"/>
    <s v="Osman, Mrs. Mara"/>
    <x v="1"/>
    <n v="31"/>
    <n v="0"/>
    <n v="0"/>
    <s v="349244"/>
    <n v="8.6832999999999991"/>
    <x v="1"/>
    <x v="0"/>
    <n v="1"/>
    <x v="1"/>
    <x v="0"/>
    <x v="0"/>
    <n v="2"/>
  </r>
  <r>
    <n v="799"/>
    <n v="0"/>
    <n v="3"/>
    <s v="Ibrahim Shawah, Mr. Yousseff"/>
    <x v="0"/>
    <n v="30"/>
    <n v="0"/>
    <n v="0"/>
    <s v="2685"/>
    <n v="7.2291999999999996"/>
    <x v="0"/>
    <x v="0"/>
    <n v="1"/>
    <x v="1"/>
    <x v="0"/>
    <x v="0"/>
    <n v="1"/>
  </r>
  <r>
    <n v="800"/>
    <n v="0"/>
    <n v="3"/>
    <s v="Van Impe, Mrs. Jean Baptiste (Rosalie Paula Govaert)"/>
    <x v="1"/>
    <n v="30"/>
    <n v="1"/>
    <n v="1"/>
    <s v="345773"/>
    <n v="24.15"/>
    <x v="0"/>
    <x v="0"/>
    <n v="3"/>
    <x v="0"/>
    <x v="0"/>
    <x v="0"/>
    <n v="2"/>
  </r>
  <r>
    <n v="801"/>
    <n v="0"/>
    <n v="2"/>
    <s v="Ponesell, Mr. Martin"/>
    <x v="0"/>
    <n v="34"/>
    <n v="0"/>
    <n v="0"/>
    <s v="250647"/>
    <n v="13"/>
    <x v="0"/>
    <x v="0"/>
    <n v="1"/>
    <x v="1"/>
    <x v="0"/>
    <x v="2"/>
    <n v="1"/>
  </r>
  <r>
    <n v="802"/>
    <n v="1"/>
    <n v="2"/>
    <s v="Collyer, Mrs. Harvey (Charlotte Annie Tate)"/>
    <x v="1"/>
    <n v="31"/>
    <n v="1"/>
    <n v="1"/>
    <s v="C.A. 31921"/>
    <n v="26.25"/>
    <x v="1"/>
    <x v="0"/>
    <n v="3"/>
    <x v="0"/>
    <x v="1"/>
    <x v="2"/>
    <n v="2"/>
  </r>
  <r>
    <n v="803"/>
    <n v="1"/>
    <n v="1"/>
    <s v="Carter, Master. William Thornton II"/>
    <x v="0"/>
    <n v="11"/>
    <n v="1"/>
    <n v="2"/>
    <s v="113760"/>
    <n v="120"/>
    <x v="1"/>
    <x v="2"/>
    <n v="4"/>
    <x v="0"/>
    <x v="2"/>
    <x v="1"/>
    <n v="1"/>
  </r>
  <r>
    <n v="804"/>
    <n v="1"/>
    <n v="3"/>
    <s v="Thomas, Master. Assad Alexander"/>
    <x v="0"/>
    <n v="0.42"/>
    <n v="0"/>
    <n v="1"/>
    <s v="2625"/>
    <n v="8.5167000000000002"/>
    <x v="1"/>
    <x v="2"/>
    <n v="2"/>
    <x v="0"/>
    <x v="0"/>
    <x v="0"/>
    <n v="1"/>
  </r>
  <r>
    <n v="805"/>
    <n v="1"/>
    <n v="3"/>
    <s v="Hedman, Mr. Oskar Arvid"/>
    <x v="0"/>
    <n v="27"/>
    <n v="0"/>
    <n v="0"/>
    <s v="347089"/>
    <n v="6.9749999999999996"/>
    <x v="1"/>
    <x v="0"/>
    <n v="1"/>
    <x v="1"/>
    <x v="0"/>
    <x v="0"/>
    <n v="1"/>
  </r>
  <r>
    <n v="806"/>
    <n v="0"/>
    <n v="3"/>
    <s v="Johansson, Mr. Karl Johan"/>
    <x v="0"/>
    <n v="31"/>
    <n v="0"/>
    <n v="0"/>
    <s v="347063"/>
    <n v="7.7750000000000004"/>
    <x v="0"/>
    <x v="0"/>
    <n v="1"/>
    <x v="1"/>
    <x v="0"/>
    <x v="0"/>
    <n v="1"/>
  </r>
  <r>
    <n v="807"/>
    <n v="0"/>
    <n v="1"/>
    <s v="Andrews, Mr. Thomas Jr"/>
    <x v="0"/>
    <n v="39"/>
    <n v="0"/>
    <n v="0"/>
    <s v="112050"/>
    <n v="0"/>
    <x v="0"/>
    <x v="1"/>
    <n v="1"/>
    <x v="1"/>
    <x v="0"/>
    <x v="1"/>
    <n v="1"/>
  </r>
  <r>
    <n v="808"/>
    <n v="0"/>
    <n v="3"/>
    <s v="Pettersson, Miss. Ellen Natalia"/>
    <x v="1"/>
    <n v="18"/>
    <n v="0"/>
    <n v="0"/>
    <s v="347087"/>
    <n v="7.7750000000000004"/>
    <x v="0"/>
    <x v="0"/>
    <n v="1"/>
    <x v="1"/>
    <x v="0"/>
    <x v="0"/>
    <n v="2"/>
  </r>
  <r>
    <n v="809"/>
    <n v="0"/>
    <n v="2"/>
    <s v="Meyer, Mr. August"/>
    <x v="0"/>
    <n v="39"/>
    <n v="0"/>
    <n v="0"/>
    <s v="248723"/>
    <n v="13"/>
    <x v="0"/>
    <x v="1"/>
    <n v="1"/>
    <x v="1"/>
    <x v="0"/>
    <x v="2"/>
    <n v="1"/>
  </r>
  <r>
    <n v="810"/>
    <n v="1"/>
    <n v="1"/>
    <s v="Chambers, Mrs. Norman Campbell (Bertha Griggs)"/>
    <x v="1"/>
    <n v="33"/>
    <n v="1"/>
    <n v="0"/>
    <s v="113806"/>
    <n v="53.1"/>
    <x v="1"/>
    <x v="0"/>
    <n v="2"/>
    <x v="0"/>
    <x v="1"/>
    <x v="1"/>
    <n v="2"/>
  </r>
  <r>
    <n v="811"/>
    <n v="0"/>
    <n v="3"/>
    <s v="Alexander, Mr. William"/>
    <x v="0"/>
    <n v="26"/>
    <n v="0"/>
    <n v="0"/>
    <s v="3474"/>
    <n v="7.8875000000000002"/>
    <x v="0"/>
    <x v="0"/>
    <n v="1"/>
    <x v="1"/>
    <x v="0"/>
    <x v="0"/>
    <n v="1"/>
  </r>
  <r>
    <n v="812"/>
    <n v="0"/>
    <n v="3"/>
    <s v="Lester, Mr. James"/>
    <x v="0"/>
    <n v="39"/>
    <n v="0"/>
    <n v="0"/>
    <s v="A/4 48871"/>
    <n v="24.15"/>
    <x v="0"/>
    <x v="1"/>
    <n v="1"/>
    <x v="1"/>
    <x v="0"/>
    <x v="0"/>
    <n v="1"/>
  </r>
  <r>
    <n v="813"/>
    <n v="0"/>
    <n v="2"/>
    <s v="Slemen, Mr. Richard James"/>
    <x v="0"/>
    <n v="35"/>
    <n v="0"/>
    <n v="0"/>
    <s v="28206"/>
    <n v="10.5"/>
    <x v="0"/>
    <x v="1"/>
    <n v="1"/>
    <x v="1"/>
    <x v="0"/>
    <x v="2"/>
    <n v="1"/>
  </r>
  <r>
    <n v="814"/>
    <n v="0"/>
    <n v="3"/>
    <s v="Andersson, Miss. Ebba Iris Alfrida"/>
    <x v="1"/>
    <n v="6"/>
    <n v="4"/>
    <n v="2"/>
    <s v="347082"/>
    <n v="31.274999999999999"/>
    <x v="0"/>
    <x v="2"/>
    <n v="7"/>
    <x v="2"/>
    <x v="1"/>
    <x v="0"/>
    <n v="2"/>
  </r>
  <r>
    <n v="815"/>
    <n v="0"/>
    <n v="3"/>
    <s v="Tomlin, Mr. Ernest Portage"/>
    <x v="0"/>
    <n v="30.5"/>
    <n v="0"/>
    <n v="0"/>
    <s v="364499"/>
    <n v="8.0500000000000007"/>
    <x v="0"/>
    <x v="0"/>
    <n v="1"/>
    <x v="1"/>
    <x v="0"/>
    <x v="0"/>
    <n v="1"/>
  </r>
  <r>
    <n v="816"/>
    <n v="0"/>
    <n v="1"/>
    <s v="Fry, Mr. Richard"/>
    <x v="0"/>
    <n v="26"/>
    <n v="0"/>
    <n v="0"/>
    <s v="112058"/>
    <n v="0"/>
    <x v="0"/>
    <x v="0"/>
    <n v="1"/>
    <x v="1"/>
    <x v="0"/>
    <x v="1"/>
    <n v="1"/>
  </r>
  <r>
    <n v="817"/>
    <n v="0"/>
    <n v="3"/>
    <s v="Heininen, Miss. Wendla Maria"/>
    <x v="1"/>
    <n v="23"/>
    <n v="0"/>
    <n v="0"/>
    <s v="STON/O2. 3101290"/>
    <n v="7.9249999999999998"/>
    <x v="0"/>
    <x v="0"/>
    <n v="1"/>
    <x v="1"/>
    <x v="0"/>
    <x v="0"/>
    <n v="2"/>
  </r>
  <r>
    <n v="818"/>
    <n v="0"/>
    <n v="2"/>
    <s v="Mallet, Mr. Albert"/>
    <x v="0"/>
    <n v="31"/>
    <n v="1"/>
    <n v="1"/>
    <s v="S.C./PARIS 2079"/>
    <n v="37.004199999999997"/>
    <x v="0"/>
    <x v="0"/>
    <n v="3"/>
    <x v="0"/>
    <x v="1"/>
    <x v="2"/>
    <n v="1"/>
  </r>
  <r>
    <n v="819"/>
    <n v="0"/>
    <n v="3"/>
    <s v="Holm, Mr. John Fredrik Alexander"/>
    <x v="0"/>
    <n v="43"/>
    <n v="0"/>
    <n v="0"/>
    <s v="C 7075"/>
    <n v="6.45"/>
    <x v="0"/>
    <x v="1"/>
    <n v="1"/>
    <x v="1"/>
    <x v="0"/>
    <x v="0"/>
    <n v="1"/>
  </r>
  <r>
    <n v="820"/>
    <n v="0"/>
    <n v="3"/>
    <s v="Skoog, Master. Karl Thorsten"/>
    <x v="0"/>
    <n v="10"/>
    <n v="3"/>
    <n v="2"/>
    <s v="347088"/>
    <n v="27.9"/>
    <x v="0"/>
    <x v="2"/>
    <n v="6"/>
    <x v="2"/>
    <x v="1"/>
    <x v="0"/>
    <n v="1"/>
  </r>
  <r>
    <n v="821"/>
    <n v="1"/>
    <n v="1"/>
    <s v="Hays, Mrs. Charles Melville (Clara Jennings Gregg)"/>
    <x v="1"/>
    <n v="52"/>
    <n v="1"/>
    <n v="1"/>
    <s v="12749"/>
    <n v="93.5"/>
    <x v="1"/>
    <x v="1"/>
    <n v="3"/>
    <x v="0"/>
    <x v="1"/>
    <x v="1"/>
    <n v="2"/>
  </r>
  <r>
    <n v="822"/>
    <n v="1"/>
    <n v="3"/>
    <s v="Lulic, Mr. Nikola"/>
    <x v="0"/>
    <n v="27"/>
    <n v="0"/>
    <n v="0"/>
    <s v="315098"/>
    <n v="8.6624999999999996"/>
    <x v="1"/>
    <x v="0"/>
    <n v="1"/>
    <x v="1"/>
    <x v="0"/>
    <x v="0"/>
    <n v="1"/>
  </r>
  <r>
    <n v="823"/>
    <n v="0"/>
    <n v="1"/>
    <s v="Reuchlin, Jonkheer. John George"/>
    <x v="0"/>
    <n v="38"/>
    <n v="0"/>
    <n v="0"/>
    <s v="19972"/>
    <n v="0"/>
    <x v="0"/>
    <x v="1"/>
    <n v="1"/>
    <x v="1"/>
    <x v="0"/>
    <x v="1"/>
    <n v="1"/>
  </r>
  <r>
    <n v="824"/>
    <n v="1"/>
    <n v="3"/>
    <s v="Moor, Mrs. (Beila)"/>
    <x v="1"/>
    <n v="27"/>
    <n v="0"/>
    <n v="1"/>
    <s v="392096"/>
    <n v="12.475"/>
    <x v="1"/>
    <x v="0"/>
    <n v="2"/>
    <x v="0"/>
    <x v="0"/>
    <x v="0"/>
    <n v="2"/>
  </r>
  <r>
    <n v="825"/>
    <n v="0"/>
    <n v="3"/>
    <s v="Panula, Master. Urho Abraham"/>
    <x v="0"/>
    <n v="2"/>
    <n v="4"/>
    <n v="1"/>
    <s v="3101295"/>
    <n v="39.6875"/>
    <x v="0"/>
    <x v="2"/>
    <n v="6"/>
    <x v="2"/>
    <x v="1"/>
    <x v="0"/>
    <n v="1"/>
  </r>
  <r>
    <n v="826"/>
    <n v="0"/>
    <n v="3"/>
    <s v="Flynn, Mr. John"/>
    <x v="0"/>
    <n v="26"/>
    <n v="0"/>
    <n v="0"/>
    <s v="368323"/>
    <n v="6.95"/>
    <x v="0"/>
    <x v="0"/>
    <n v="1"/>
    <x v="1"/>
    <x v="0"/>
    <x v="0"/>
    <n v="1"/>
  </r>
  <r>
    <n v="827"/>
    <n v="0"/>
    <n v="3"/>
    <s v="Lam, Mr. Len"/>
    <x v="0"/>
    <n v="26"/>
    <n v="0"/>
    <n v="0"/>
    <s v="1601"/>
    <n v="56.495800000000003"/>
    <x v="0"/>
    <x v="0"/>
    <n v="1"/>
    <x v="1"/>
    <x v="1"/>
    <x v="0"/>
    <n v="1"/>
  </r>
  <r>
    <n v="828"/>
    <n v="1"/>
    <n v="2"/>
    <s v="Mallet, Master. Andre"/>
    <x v="0"/>
    <n v="1"/>
    <n v="0"/>
    <n v="2"/>
    <s v="S.C./PARIS 2079"/>
    <n v="37.004199999999997"/>
    <x v="1"/>
    <x v="2"/>
    <n v="3"/>
    <x v="0"/>
    <x v="1"/>
    <x v="2"/>
    <n v="1"/>
  </r>
  <r>
    <n v="829"/>
    <n v="1"/>
    <n v="3"/>
    <s v="McCormack, Mr. Thomas Joseph"/>
    <x v="0"/>
    <n v="26"/>
    <n v="0"/>
    <n v="0"/>
    <s v="367228"/>
    <n v="7.75"/>
    <x v="1"/>
    <x v="0"/>
    <n v="1"/>
    <x v="1"/>
    <x v="0"/>
    <x v="0"/>
    <n v="1"/>
  </r>
  <r>
    <n v="830"/>
    <n v="1"/>
    <n v="1"/>
    <s v="Stone, Mrs. George Nelson (Martha Evelyn)"/>
    <x v="1"/>
    <n v="62"/>
    <n v="0"/>
    <n v="0"/>
    <s v="113572"/>
    <n v="80"/>
    <x v="1"/>
    <x v="3"/>
    <n v="1"/>
    <x v="1"/>
    <x v="1"/>
    <x v="1"/>
    <n v="2"/>
  </r>
  <r>
    <n v="831"/>
    <n v="1"/>
    <n v="3"/>
    <s v="Yasbeck, Mrs. Antoni (Selini Alexander)"/>
    <x v="1"/>
    <n v="15"/>
    <n v="1"/>
    <n v="0"/>
    <s v="2659"/>
    <n v="14.4542"/>
    <x v="1"/>
    <x v="2"/>
    <n v="2"/>
    <x v="0"/>
    <x v="0"/>
    <x v="0"/>
    <n v="2"/>
  </r>
  <r>
    <n v="832"/>
    <n v="1"/>
    <n v="2"/>
    <s v="Richards, Master. George Sibley"/>
    <x v="0"/>
    <n v="0.83"/>
    <n v="1"/>
    <n v="1"/>
    <s v="29106"/>
    <n v="18.75"/>
    <x v="1"/>
    <x v="2"/>
    <n v="3"/>
    <x v="0"/>
    <x v="0"/>
    <x v="2"/>
    <n v="1"/>
  </r>
  <r>
    <n v="833"/>
    <n v="0"/>
    <n v="3"/>
    <s v="Saad, Mr. Amin"/>
    <x v="0"/>
    <n v="26"/>
    <n v="0"/>
    <n v="0"/>
    <s v="2671"/>
    <n v="7.2291999999999996"/>
    <x v="0"/>
    <x v="0"/>
    <n v="1"/>
    <x v="1"/>
    <x v="0"/>
    <x v="0"/>
    <n v="1"/>
  </r>
  <r>
    <n v="834"/>
    <n v="0"/>
    <n v="3"/>
    <s v="Augustsson, Mr. Albert"/>
    <x v="0"/>
    <n v="23"/>
    <n v="0"/>
    <n v="0"/>
    <s v="347468"/>
    <n v="7.8541999999999996"/>
    <x v="0"/>
    <x v="0"/>
    <n v="1"/>
    <x v="1"/>
    <x v="0"/>
    <x v="0"/>
    <n v="1"/>
  </r>
  <r>
    <n v="835"/>
    <n v="0"/>
    <n v="3"/>
    <s v="Allum, Mr. Owen George"/>
    <x v="0"/>
    <n v="18"/>
    <n v="0"/>
    <n v="0"/>
    <s v="2223"/>
    <n v="8.3000000000000007"/>
    <x v="0"/>
    <x v="0"/>
    <n v="1"/>
    <x v="1"/>
    <x v="0"/>
    <x v="0"/>
    <n v="1"/>
  </r>
  <r>
    <n v="836"/>
    <n v="1"/>
    <n v="1"/>
    <s v="Compton, Miss. Sara Rebecca"/>
    <x v="1"/>
    <n v="39"/>
    <n v="1"/>
    <n v="1"/>
    <s v="PC 17756"/>
    <n v="83.158299999999997"/>
    <x v="1"/>
    <x v="1"/>
    <n v="3"/>
    <x v="0"/>
    <x v="1"/>
    <x v="1"/>
    <n v="2"/>
  </r>
  <r>
    <n v="837"/>
    <n v="0"/>
    <n v="3"/>
    <s v="Pasic, Mr. Jakob"/>
    <x v="0"/>
    <n v="21"/>
    <n v="0"/>
    <n v="0"/>
    <s v="315097"/>
    <n v="8.6624999999999996"/>
    <x v="0"/>
    <x v="0"/>
    <n v="1"/>
    <x v="1"/>
    <x v="0"/>
    <x v="0"/>
    <n v="1"/>
  </r>
  <r>
    <n v="838"/>
    <n v="0"/>
    <n v="3"/>
    <s v="Sirota, Mr. Maurice"/>
    <x v="0"/>
    <n v="26"/>
    <n v="0"/>
    <n v="0"/>
    <s v="392092"/>
    <n v="8.0500000000000007"/>
    <x v="0"/>
    <x v="0"/>
    <n v="1"/>
    <x v="1"/>
    <x v="0"/>
    <x v="0"/>
    <n v="1"/>
  </r>
  <r>
    <n v="839"/>
    <n v="1"/>
    <n v="3"/>
    <s v="Chip, Mr. Chang"/>
    <x v="0"/>
    <n v="32"/>
    <n v="0"/>
    <n v="0"/>
    <s v="1601"/>
    <n v="56.495800000000003"/>
    <x v="1"/>
    <x v="0"/>
    <n v="1"/>
    <x v="1"/>
    <x v="1"/>
    <x v="0"/>
    <n v="1"/>
  </r>
  <r>
    <n v="840"/>
    <n v="1"/>
    <n v="1"/>
    <s v="Marechal, Mr. Pierre"/>
    <x v="0"/>
    <n v="26"/>
    <n v="0"/>
    <n v="0"/>
    <s v="11774"/>
    <n v="29.7"/>
    <x v="1"/>
    <x v="0"/>
    <n v="1"/>
    <x v="1"/>
    <x v="1"/>
    <x v="1"/>
    <n v="1"/>
  </r>
  <r>
    <n v="841"/>
    <n v="0"/>
    <n v="3"/>
    <s v="Alhomaki, Mr. Ilmari Rudolf"/>
    <x v="0"/>
    <n v="20"/>
    <n v="0"/>
    <n v="0"/>
    <s v="SOTON/O2 3101287"/>
    <n v="7.9249999999999998"/>
    <x v="0"/>
    <x v="0"/>
    <n v="1"/>
    <x v="1"/>
    <x v="0"/>
    <x v="0"/>
    <n v="1"/>
  </r>
  <r>
    <n v="842"/>
    <n v="0"/>
    <n v="2"/>
    <s v="Mudd, Mr. Thomas Charles"/>
    <x v="0"/>
    <n v="16"/>
    <n v="0"/>
    <n v="0"/>
    <s v="S.O./P.P. 3"/>
    <n v="10.5"/>
    <x v="0"/>
    <x v="2"/>
    <n v="1"/>
    <x v="1"/>
    <x v="0"/>
    <x v="2"/>
    <n v="1"/>
  </r>
  <r>
    <n v="843"/>
    <n v="1"/>
    <n v="1"/>
    <s v="Serepeca, Miss. Augusta"/>
    <x v="1"/>
    <n v="30"/>
    <n v="0"/>
    <n v="0"/>
    <s v="113798"/>
    <n v="31"/>
    <x v="1"/>
    <x v="0"/>
    <n v="1"/>
    <x v="1"/>
    <x v="1"/>
    <x v="1"/>
    <n v="2"/>
  </r>
  <r>
    <n v="844"/>
    <n v="0"/>
    <n v="3"/>
    <s v="Lemberopolous, Mr. Peter L"/>
    <x v="0"/>
    <n v="34.5"/>
    <n v="0"/>
    <n v="0"/>
    <s v="2683"/>
    <n v="6.4375"/>
    <x v="0"/>
    <x v="0"/>
    <n v="1"/>
    <x v="1"/>
    <x v="0"/>
    <x v="0"/>
    <n v="1"/>
  </r>
  <r>
    <n v="845"/>
    <n v="0"/>
    <n v="3"/>
    <s v="Culumovic, Mr. Jeso"/>
    <x v="0"/>
    <n v="17"/>
    <n v="0"/>
    <n v="0"/>
    <s v="315090"/>
    <n v="8.6624999999999996"/>
    <x v="0"/>
    <x v="2"/>
    <n v="1"/>
    <x v="1"/>
    <x v="0"/>
    <x v="0"/>
    <n v="1"/>
  </r>
  <r>
    <n v="846"/>
    <n v="0"/>
    <n v="3"/>
    <s v="Abbing, Mr. Anthony"/>
    <x v="0"/>
    <n v="42"/>
    <n v="0"/>
    <n v="0"/>
    <s v="C.A. 5547"/>
    <n v="7.55"/>
    <x v="0"/>
    <x v="1"/>
    <n v="1"/>
    <x v="1"/>
    <x v="0"/>
    <x v="0"/>
    <n v="1"/>
  </r>
  <r>
    <n v="847"/>
    <n v="0"/>
    <n v="3"/>
    <s v="Sage, Mr. Douglas Bullen"/>
    <x v="0"/>
    <n v="26"/>
    <n v="8"/>
    <n v="2"/>
    <s v="CA. 2343"/>
    <n v="69.55"/>
    <x v="0"/>
    <x v="0"/>
    <n v="11"/>
    <x v="2"/>
    <x v="1"/>
    <x v="0"/>
    <n v="1"/>
  </r>
  <r>
    <n v="848"/>
    <n v="0"/>
    <n v="3"/>
    <s v="Markoff, Mr. Marin"/>
    <x v="0"/>
    <n v="35"/>
    <n v="0"/>
    <n v="0"/>
    <s v="349213"/>
    <n v="7.8958000000000004"/>
    <x v="0"/>
    <x v="1"/>
    <n v="1"/>
    <x v="1"/>
    <x v="0"/>
    <x v="0"/>
    <n v="1"/>
  </r>
  <r>
    <n v="849"/>
    <n v="0"/>
    <n v="2"/>
    <s v="Harper, Rev. John"/>
    <x v="0"/>
    <n v="28"/>
    <n v="0"/>
    <n v="1"/>
    <s v="248727"/>
    <n v="33"/>
    <x v="0"/>
    <x v="0"/>
    <n v="2"/>
    <x v="0"/>
    <x v="1"/>
    <x v="2"/>
    <n v="1"/>
  </r>
  <r>
    <n v="850"/>
    <n v="1"/>
    <n v="1"/>
    <s v="Goldenberg, Mrs. Samuel L (Edwiga Grabowska)"/>
    <x v="1"/>
    <n v="26"/>
    <n v="1"/>
    <n v="0"/>
    <s v="17453"/>
    <n v="89.104200000000006"/>
    <x v="1"/>
    <x v="0"/>
    <n v="2"/>
    <x v="0"/>
    <x v="1"/>
    <x v="1"/>
    <n v="2"/>
  </r>
  <r>
    <n v="851"/>
    <n v="0"/>
    <n v="3"/>
    <s v="Andersson, Master. Sigvard Harald Elias"/>
    <x v="0"/>
    <n v="4"/>
    <n v="4"/>
    <n v="2"/>
    <s v="347082"/>
    <n v="31.274999999999999"/>
    <x v="0"/>
    <x v="2"/>
    <n v="7"/>
    <x v="2"/>
    <x v="1"/>
    <x v="0"/>
    <n v="1"/>
  </r>
  <r>
    <n v="852"/>
    <n v="0"/>
    <n v="3"/>
    <s v="Svensson, Mr. Johan"/>
    <x v="0"/>
    <n v="74"/>
    <n v="0"/>
    <n v="0"/>
    <s v="347060"/>
    <n v="7.7750000000000004"/>
    <x v="0"/>
    <x v="3"/>
    <n v="1"/>
    <x v="1"/>
    <x v="0"/>
    <x v="0"/>
    <n v="1"/>
  </r>
  <r>
    <n v="853"/>
    <n v="0"/>
    <n v="3"/>
    <s v="Boulos, Miss. Nourelain"/>
    <x v="1"/>
    <n v="9"/>
    <n v="1"/>
    <n v="1"/>
    <s v="2678"/>
    <n v="15.245799999999999"/>
    <x v="0"/>
    <x v="2"/>
    <n v="3"/>
    <x v="0"/>
    <x v="0"/>
    <x v="0"/>
    <n v="2"/>
  </r>
  <r>
    <n v="854"/>
    <n v="1"/>
    <n v="1"/>
    <s v="Lines, Miss. Mary Conover"/>
    <x v="1"/>
    <n v="16"/>
    <n v="0"/>
    <n v="1"/>
    <s v="PC 17592"/>
    <n v="39.4"/>
    <x v="1"/>
    <x v="2"/>
    <n v="2"/>
    <x v="0"/>
    <x v="1"/>
    <x v="1"/>
    <n v="2"/>
  </r>
  <r>
    <n v="855"/>
    <n v="0"/>
    <n v="2"/>
    <s v="Carter, Mrs. Ernest Courtenay (Lilian Hughes)"/>
    <x v="1"/>
    <n v="44"/>
    <n v="1"/>
    <n v="0"/>
    <s v="244252"/>
    <n v="26"/>
    <x v="0"/>
    <x v="1"/>
    <n v="2"/>
    <x v="0"/>
    <x v="1"/>
    <x v="2"/>
    <n v="2"/>
  </r>
  <r>
    <n v="856"/>
    <n v="1"/>
    <n v="3"/>
    <s v="Aks, Mrs. Sam (Leah Rosen)"/>
    <x v="1"/>
    <n v="18"/>
    <n v="0"/>
    <n v="1"/>
    <s v="392091"/>
    <n v="9.35"/>
    <x v="1"/>
    <x v="0"/>
    <n v="2"/>
    <x v="0"/>
    <x v="0"/>
    <x v="0"/>
    <n v="2"/>
  </r>
  <r>
    <n v="857"/>
    <n v="1"/>
    <n v="1"/>
    <s v="Wick, Mrs. George Dennick (Mary Hitchcock)"/>
    <x v="1"/>
    <n v="45"/>
    <n v="1"/>
    <n v="1"/>
    <s v="36928"/>
    <n v="164.86670000000001"/>
    <x v="1"/>
    <x v="1"/>
    <n v="3"/>
    <x v="0"/>
    <x v="2"/>
    <x v="1"/>
    <n v="2"/>
  </r>
  <r>
    <n v="858"/>
    <n v="1"/>
    <n v="1"/>
    <s v="Daly, Mr. Peter Denis "/>
    <x v="0"/>
    <n v="51"/>
    <n v="0"/>
    <n v="0"/>
    <s v="113055"/>
    <n v="26.55"/>
    <x v="1"/>
    <x v="1"/>
    <n v="1"/>
    <x v="1"/>
    <x v="1"/>
    <x v="1"/>
    <n v="1"/>
  </r>
  <r>
    <n v="859"/>
    <n v="1"/>
    <n v="3"/>
    <s v="Baclini, Mrs. Solomon (Latifa Qurban)"/>
    <x v="1"/>
    <n v="24"/>
    <n v="0"/>
    <n v="3"/>
    <s v="2666"/>
    <n v="19.258299999999998"/>
    <x v="1"/>
    <x v="0"/>
    <n v="4"/>
    <x v="0"/>
    <x v="0"/>
    <x v="0"/>
    <n v="2"/>
  </r>
  <r>
    <n v="860"/>
    <n v="0"/>
    <n v="3"/>
    <s v="Razi, Mr. Raihed"/>
    <x v="0"/>
    <n v="26"/>
    <n v="0"/>
    <n v="0"/>
    <s v="2629"/>
    <n v="7.2291999999999996"/>
    <x v="0"/>
    <x v="0"/>
    <n v="1"/>
    <x v="1"/>
    <x v="0"/>
    <x v="0"/>
    <n v="1"/>
  </r>
  <r>
    <n v="861"/>
    <n v="0"/>
    <n v="3"/>
    <s v="Hansen, Mr. Claus Peter"/>
    <x v="0"/>
    <n v="41"/>
    <n v="2"/>
    <n v="0"/>
    <s v="350026"/>
    <n v="14.1083"/>
    <x v="0"/>
    <x v="1"/>
    <n v="3"/>
    <x v="0"/>
    <x v="0"/>
    <x v="0"/>
    <n v="1"/>
  </r>
  <r>
    <n v="862"/>
    <n v="0"/>
    <n v="2"/>
    <s v="Giles, Mr. Frederick Edward"/>
    <x v="0"/>
    <n v="21"/>
    <n v="1"/>
    <n v="0"/>
    <s v="28134"/>
    <n v="11.5"/>
    <x v="0"/>
    <x v="0"/>
    <n v="2"/>
    <x v="0"/>
    <x v="0"/>
    <x v="2"/>
    <n v="1"/>
  </r>
  <r>
    <n v="863"/>
    <n v="1"/>
    <n v="1"/>
    <s v="Swift, Mrs. Frederick Joel (Margaret Welles Barron)"/>
    <x v="1"/>
    <n v="48"/>
    <n v="0"/>
    <n v="0"/>
    <s v="17466"/>
    <n v="25.929200000000002"/>
    <x v="1"/>
    <x v="1"/>
    <n v="1"/>
    <x v="1"/>
    <x v="1"/>
    <x v="1"/>
    <n v="2"/>
  </r>
  <r>
    <n v="864"/>
    <n v="0"/>
    <n v="3"/>
    <s v="Sage, Miss. Dorothy Edith &quot;Dolly&quot;"/>
    <x v="1"/>
    <n v="26"/>
    <n v="8"/>
    <n v="2"/>
    <s v="CA. 2343"/>
    <n v="69.55"/>
    <x v="0"/>
    <x v="0"/>
    <n v="11"/>
    <x v="2"/>
    <x v="1"/>
    <x v="0"/>
    <n v="2"/>
  </r>
  <r>
    <n v="865"/>
    <n v="0"/>
    <n v="2"/>
    <s v="Gill, Mr. John William"/>
    <x v="0"/>
    <n v="24"/>
    <n v="0"/>
    <n v="0"/>
    <s v="233866"/>
    <n v="13"/>
    <x v="0"/>
    <x v="0"/>
    <n v="1"/>
    <x v="1"/>
    <x v="0"/>
    <x v="2"/>
    <n v="1"/>
  </r>
  <r>
    <n v="866"/>
    <n v="1"/>
    <n v="2"/>
    <s v="Bystrom, Mrs. (Karolina)"/>
    <x v="1"/>
    <n v="42"/>
    <n v="0"/>
    <n v="0"/>
    <s v="236852"/>
    <n v="13"/>
    <x v="1"/>
    <x v="1"/>
    <n v="1"/>
    <x v="1"/>
    <x v="0"/>
    <x v="2"/>
    <n v="2"/>
  </r>
  <r>
    <n v="867"/>
    <n v="1"/>
    <n v="2"/>
    <s v="Duran y More, Miss. Asuncion"/>
    <x v="1"/>
    <n v="27"/>
    <n v="1"/>
    <n v="0"/>
    <s v="SC/PARIS 2149"/>
    <n v="13.8583"/>
    <x v="1"/>
    <x v="0"/>
    <n v="2"/>
    <x v="0"/>
    <x v="0"/>
    <x v="2"/>
    <n v="2"/>
  </r>
  <r>
    <n v="868"/>
    <n v="0"/>
    <n v="1"/>
    <s v="Roebling, Mr. Washington Augustus II"/>
    <x v="0"/>
    <n v="31"/>
    <n v="0"/>
    <n v="0"/>
    <s v="PC 17590"/>
    <n v="50.495800000000003"/>
    <x v="0"/>
    <x v="0"/>
    <n v="1"/>
    <x v="1"/>
    <x v="1"/>
    <x v="1"/>
    <n v="1"/>
  </r>
  <r>
    <n v="869"/>
    <n v="0"/>
    <n v="3"/>
    <s v="van Melkebeke, Mr. Philemon"/>
    <x v="0"/>
    <n v="26"/>
    <n v="0"/>
    <n v="0"/>
    <s v="345777"/>
    <n v="9.5"/>
    <x v="0"/>
    <x v="0"/>
    <n v="1"/>
    <x v="1"/>
    <x v="0"/>
    <x v="0"/>
    <n v="1"/>
  </r>
  <r>
    <n v="870"/>
    <n v="1"/>
    <n v="3"/>
    <s v="Johnson, Master. Harold Theodor"/>
    <x v="0"/>
    <n v="4"/>
    <n v="1"/>
    <n v="1"/>
    <s v="347742"/>
    <n v="11.1333"/>
    <x v="1"/>
    <x v="2"/>
    <n v="3"/>
    <x v="0"/>
    <x v="0"/>
    <x v="0"/>
    <n v="1"/>
  </r>
  <r>
    <n v="871"/>
    <n v="0"/>
    <n v="3"/>
    <s v="Balkic, Mr. Cerin"/>
    <x v="0"/>
    <n v="26"/>
    <n v="0"/>
    <n v="0"/>
    <s v="349248"/>
    <n v="7.8958000000000004"/>
    <x v="0"/>
    <x v="0"/>
    <n v="1"/>
    <x v="1"/>
    <x v="0"/>
    <x v="0"/>
    <n v="1"/>
  </r>
  <r>
    <n v="872"/>
    <n v="1"/>
    <n v="1"/>
    <s v="Beckwith, Mrs. Richard Leonard (Sallie Monypeny)"/>
    <x v="1"/>
    <n v="47"/>
    <n v="1"/>
    <n v="1"/>
    <s v="11751"/>
    <n v="52.554200000000002"/>
    <x v="1"/>
    <x v="1"/>
    <n v="3"/>
    <x v="0"/>
    <x v="1"/>
    <x v="1"/>
    <n v="2"/>
  </r>
  <r>
    <n v="873"/>
    <n v="0"/>
    <n v="1"/>
    <s v="Carlsson, Mr. Frans Olof"/>
    <x v="0"/>
    <n v="33"/>
    <n v="0"/>
    <n v="0"/>
    <s v="695"/>
    <n v="5"/>
    <x v="0"/>
    <x v="0"/>
    <n v="1"/>
    <x v="1"/>
    <x v="0"/>
    <x v="1"/>
    <n v="1"/>
  </r>
  <r>
    <n v="874"/>
    <n v="0"/>
    <n v="3"/>
    <s v="Vander Cruyssen, Mr. Victor"/>
    <x v="0"/>
    <n v="47"/>
    <n v="0"/>
    <n v="0"/>
    <s v="345765"/>
    <n v="9"/>
    <x v="0"/>
    <x v="1"/>
    <n v="1"/>
    <x v="1"/>
    <x v="0"/>
    <x v="0"/>
    <n v="1"/>
  </r>
  <r>
    <n v="875"/>
    <n v="1"/>
    <n v="2"/>
    <s v="Abelson, Mrs. Samuel (Hannah Wizosky)"/>
    <x v="1"/>
    <n v="28"/>
    <n v="1"/>
    <n v="0"/>
    <s v="P/PP 3381"/>
    <n v="24"/>
    <x v="1"/>
    <x v="0"/>
    <n v="2"/>
    <x v="0"/>
    <x v="0"/>
    <x v="2"/>
    <n v="2"/>
  </r>
  <r>
    <n v="876"/>
    <n v="1"/>
    <n v="3"/>
    <s v="Najib, Miss. Adele Kiamie &quot;Jane&quot;"/>
    <x v="1"/>
    <n v="15"/>
    <n v="0"/>
    <n v="0"/>
    <s v="2667"/>
    <n v="7.2249999999999996"/>
    <x v="1"/>
    <x v="2"/>
    <n v="1"/>
    <x v="1"/>
    <x v="0"/>
    <x v="0"/>
    <n v="2"/>
  </r>
  <r>
    <n v="877"/>
    <n v="0"/>
    <n v="3"/>
    <s v="Gustafsson, Mr. Alfred Ossian"/>
    <x v="0"/>
    <n v="20"/>
    <n v="0"/>
    <n v="0"/>
    <s v="7534"/>
    <n v="9.8458000000000006"/>
    <x v="0"/>
    <x v="0"/>
    <n v="1"/>
    <x v="1"/>
    <x v="0"/>
    <x v="0"/>
    <n v="1"/>
  </r>
  <r>
    <n v="878"/>
    <n v="0"/>
    <n v="3"/>
    <s v="Petroff, Mr. Nedelio"/>
    <x v="0"/>
    <n v="19"/>
    <n v="0"/>
    <n v="0"/>
    <s v="349212"/>
    <n v="7.8958000000000004"/>
    <x v="0"/>
    <x v="0"/>
    <n v="1"/>
    <x v="1"/>
    <x v="0"/>
    <x v="0"/>
    <n v="1"/>
  </r>
  <r>
    <n v="879"/>
    <n v="0"/>
    <n v="3"/>
    <s v="Laleff, Mr. Kristo"/>
    <x v="0"/>
    <n v="26"/>
    <n v="0"/>
    <n v="0"/>
    <s v="349217"/>
    <n v="7.8958000000000004"/>
    <x v="0"/>
    <x v="0"/>
    <n v="1"/>
    <x v="1"/>
    <x v="0"/>
    <x v="0"/>
    <n v="1"/>
  </r>
  <r>
    <n v="880"/>
    <n v="1"/>
    <n v="1"/>
    <s v="Potter, Mrs. Thomas Jr (Lily Alexenia Wilson)"/>
    <x v="1"/>
    <n v="56"/>
    <n v="0"/>
    <n v="1"/>
    <s v="11767"/>
    <n v="83.158299999999997"/>
    <x v="1"/>
    <x v="1"/>
    <n v="2"/>
    <x v="0"/>
    <x v="1"/>
    <x v="1"/>
    <n v="2"/>
  </r>
  <r>
    <n v="881"/>
    <n v="1"/>
    <n v="2"/>
    <s v="Shelley, Mrs. William (Imanita Parrish Hall)"/>
    <x v="1"/>
    <n v="25"/>
    <n v="0"/>
    <n v="1"/>
    <s v="230433"/>
    <n v="26"/>
    <x v="1"/>
    <x v="0"/>
    <n v="2"/>
    <x v="0"/>
    <x v="1"/>
    <x v="2"/>
    <n v="2"/>
  </r>
  <r>
    <n v="882"/>
    <n v="0"/>
    <n v="3"/>
    <s v="Markun, Mr. Johann"/>
    <x v="0"/>
    <n v="33"/>
    <n v="0"/>
    <n v="0"/>
    <s v="349257"/>
    <n v="7.8958000000000004"/>
    <x v="0"/>
    <x v="0"/>
    <n v="1"/>
    <x v="1"/>
    <x v="0"/>
    <x v="0"/>
    <n v="1"/>
  </r>
  <r>
    <n v="883"/>
    <n v="0"/>
    <n v="3"/>
    <s v="Dahlberg, Miss. Gerda Ulrika"/>
    <x v="1"/>
    <n v="22"/>
    <n v="0"/>
    <n v="0"/>
    <s v="7552"/>
    <n v="10.5167"/>
    <x v="0"/>
    <x v="0"/>
    <n v="1"/>
    <x v="1"/>
    <x v="0"/>
    <x v="0"/>
    <n v="2"/>
  </r>
  <r>
    <n v="884"/>
    <n v="0"/>
    <n v="2"/>
    <s v="Banfield, Mr. Frederick James"/>
    <x v="0"/>
    <n v="28"/>
    <n v="0"/>
    <n v="0"/>
    <s v="C.A./SOTON 34068"/>
    <n v="10.5"/>
    <x v="0"/>
    <x v="0"/>
    <n v="1"/>
    <x v="1"/>
    <x v="0"/>
    <x v="2"/>
    <n v="1"/>
  </r>
  <r>
    <n v="885"/>
    <n v="0"/>
    <n v="3"/>
    <s v="Sutehall, Mr. Henry Jr"/>
    <x v="0"/>
    <n v="25"/>
    <n v="0"/>
    <n v="0"/>
    <s v="SOTON/OQ 392076"/>
    <n v="7.05"/>
    <x v="0"/>
    <x v="0"/>
    <n v="1"/>
    <x v="1"/>
    <x v="0"/>
    <x v="0"/>
    <n v="1"/>
  </r>
  <r>
    <n v="886"/>
    <n v="0"/>
    <n v="3"/>
    <s v="Rice, Mrs. William (Margaret Norton)"/>
    <x v="1"/>
    <n v="39"/>
    <n v="0"/>
    <n v="5"/>
    <s v="382652"/>
    <n v="29.125"/>
    <x v="0"/>
    <x v="1"/>
    <n v="6"/>
    <x v="2"/>
    <x v="1"/>
    <x v="0"/>
    <n v="2"/>
  </r>
  <r>
    <n v="887"/>
    <n v="0"/>
    <n v="2"/>
    <s v="Montvila, Rev. Juozas"/>
    <x v="0"/>
    <n v="27"/>
    <n v="0"/>
    <n v="0"/>
    <s v="211536"/>
    <n v="13"/>
    <x v="0"/>
    <x v="0"/>
    <n v="1"/>
    <x v="1"/>
    <x v="0"/>
    <x v="2"/>
    <n v="1"/>
  </r>
  <r>
    <n v="888"/>
    <n v="1"/>
    <n v="1"/>
    <s v="Graham, Miss. Margaret Edith"/>
    <x v="1"/>
    <n v="19"/>
    <n v="0"/>
    <n v="0"/>
    <s v="112053"/>
    <n v="30"/>
    <x v="1"/>
    <x v="0"/>
    <n v="1"/>
    <x v="1"/>
    <x v="1"/>
    <x v="1"/>
    <n v="2"/>
  </r>
  <r>
    <n v="889"/>
    <n v="0"/>
    <n v="3"/>
    <s v="Johnston, Miss. Catherine Helen &quot;Carrie&quot;"/>
    <x v="1"/>
    <n v="26"/>
    <n v="1"/>
    <n v="2"/>
    <s v="W./C. 6607"/>
    <n v="23.45"/>
    <x v="0"/>
    <x v="0"/>
    <n v="4"/>
    <x v="0"/>
    <x v="0"/>
    <x v="0"/>
    <n v="2"/>
  </r>
  <r>
    <n v="890"/>
    <n v="1"/>
    <n v="1"/>
    <s v="Behr, Mr. Karl Howell"/>
    <x v="0"/>
    <n v="26"/>
    <n v="0"/>
    <n v="0"/>
    <s v="111369"/>
    <n v="30"/>
    <x v="1"/>
    <x v="0"/>
    <n v="1"/>
    <x v="1"/>
    <x v="1"/>
    <x v="1"/>
    <n v="1"/>
  </r>
  <r>
    <n v="891"/>
    <n v="0"/>
    <n v="3"/>
    <s v="Dooley, Mr. Patrick"/>
    <x v="0"/>
    <n v="32"/>
    <n v="0"/>
    <n v="0"/>
    <s v="370376"/>
    <n v="7.75"/>
    <x v="0"/>
    <x v="0"/>
    <n v="1"/>
    <x v="1"/>
    <x v="0"/>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C4CE2C-04C9-4C9D-B6F3-32A659C71E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Survival Status">
  <location ref="A3:B6" firstHeaderRow="1" firstDataRow="1" firstDataCol="1"/>
  <pivotFields count="17">
    <pivotField dataField="1" numFmtId="1" showAll="0"/>
    <pivotField numFmtId="1" showAll="0"/>
    <pivotField numFmtId="1" showAll="0"/>
    <pivotField showAll="0"/>
    <pivotField showAll="0">
      <items count="3">
        <item x="1"/>
        <item x="0"/>
        <item t="default"/>
      </items>
    </pivotField>
    <pivotField numFmtId="165" showAll="0"/>
    <pivotField numFmtId="1" showAll="0"/>
    <pivotField numFmtId="1" showAll="0"/>
    <pivotField showAll="0"/>
    <pivotField numFmtId="164" showAll="0"/>
    <pivotField axis="axisRow" showAll="0">
      <items count="3">
        <item x="0"/>
        <item x="1"/>
        <item t="default"/>
      </items>
    </pivotField>
    <pivotField showAll="0">
      <items count="5">
        <item x="1"/>
        <item x="2"/>
        <item x="3"/>
        <item x="0"/>
        <item t="default"/>
      </items>
    </pivotField>
    <pivotField numFmtId="1" showAll="0"/>
    <pivotField showAll="0">
      <items count="4">
        <item x="1"/>
        <item x="2"/>
        <item x="0"/>
        <item t="default"/>
      </items>
    </pivotField>
    <pivotField showAll="0">
      <items count="4">
        <item x="2"/>
        <item x="0"/>
        <item x="1"/>
        <item t="default"/>
      </items>
    </pivotField>
    <pivotField showAll="0">
      <items count="4">
        <item x="1"/>
        <item x="2"/>
        <item x="0"/>
        <item t="default"/>
      </items>
    </pivotField>
    <pivotField showAll="0"/>
  </pivotFields>
  <rowFields count="1">
    <field x="10"/>
  </rowFields>
  <rowItems count="3">
    <i>
      <x/>
    </i>
    <i>
      <x v="1"/>
    </i>
    <i t="grand">
      <x/>
    </i>
  </rowItems>
  <colItems count="1">
    <i/>
  </colItems>
  <dataFields count="1">
    <dataField name="Passengers" fld="0" subtotal="count" baseField="10" baseItem="0"/>
  </dataFields>
  <chartFormats count="6">
    <chartFormat chart="0"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0" count="1" selected="0">
            <x v="0"/>
          </reference>
        </references>
      </pivotArea>
    </chartFormat>
    <chartFormat chart="17"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27154A-D91A-4951-8F60-02C1E6662584}"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Fare Category" colHeaderCaption="Survival Status">
  <location ref="A41:D46" firstHeaderRow="1" firstDataRow="2" firstDataCol="1"/>
  <pivotFields count="17">
    <pivotField dataField="1" numFmtId="1" showAll="0"/>
    <pivotField numFmtId="1" showAll="0"/>
    <pivotField numFmtId="1" showAll="0"/>
    <pivotField showAll="0"/>
    <pivotField showAll="0">
      <items count="3">
        <item x="1"/>
        <item x="0"/>
        <item t="default"/>
      </items>
    </pivotField>
    <pivotField numFmtId="165" showAll="0"/>
    <pivotField numFmtId="1" showAll="0"/>
    <pivotField numFmtId="1" showAll="0"/>
    <pivotField showAll="0"/>
    <pivotField numFmtId="164" showAll="0"/>
    <pivotField axis="axisCol" showAll="0">
      <items count="3">
        <item x="0"/>
        <item x="1"/>
        <item t="default"/>
      </items>
    </pivotField>
    <pivotField showAll="0">
      <items count="5">
        <item x="1"/>
        <item x="2"/>
        <item x="3"/>
        <item x="0"/>
        <item t="default"/>
      </items>
    </pivotField>
    <pivotField numFmtId="1" showAll="0"/>
    <pivotField showAll="0">
      <items count="4">
        <item x="1"/>
        <item x="2"/>
        <item x="0"/>
        <item t="default"/>
      </items>
    </pivotField>
    <pivotField axis="axisRow" showAll="0">
      <items count="4">
        <item x="2"/>
        <item x="0"/>
        <item x="1"/>
        <item t="default"/>
      </items>
    </pivotField>
    <pivotField showAll="0">
      <items count="4">
        <item x="1"/>
        <item x="2"/>
        <item x="0"/>
        <item t="default"/>
      </items>
    </pivotField>
    <pivotField showAll="0"/>
  </pivotFields>
  <rowFields count="1">
    <field x="14"/>
  </rowFields>
  <rowItems count="4">
    <i>
      <x/>
    </i>
    <i>
      <x v="1"/>
    </i>
    <i>
      <x v="2"/>
    </i>
    <i t="grand">
      <x/>
    </i>
  </rowItems>
  <colFields count="1">
    <field x="10"/>
  </colFields>
  <colItems count="3">
    <i>
      <x/>
    </i>
    <i>
      <x v="1"/>
    </i>
    <i t="grand">
      <x/>
    </i>
  </colItems>
  <dataFields count="1">
    <dataField name="Passengers" fld="0" subtotal="count" baseField="4"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749AE-D221-41EA-8086-199993FC6C57}"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Family Group" colHeaderCaption="Survival Status">
  <location ref="A33:D38" firstHeaderRow="1" firstDataRow="2" firstDataCol="1"/>
  <pivotFields count="17">
    <pivotField dataField="1" numFmtId="1" showAll="0"/>
    <pivotField numFmtId="1" showAll="0"/>
    <pivotField numFmtId="1" showAll="0"/>
    <pivotField showAll="0"/>
    <pivotField showAll="0">
      <items count="3">
        <item x="1"/>
        <item x="0"/>
        <item t="default"/>
      </items>
    </pivotField>
    <pivotField numFmtId="165" showAll="0"/>
    <pivotField numFmtId="1" showAll="0"/>
    <pivotField numFmtId="1" showAll="0"/>
    <pivotField showAll="0"/>
    <pivotField numFmtId="164" showAll="0"/>
    <pivotField axis="axisCol" showAll="0">
      <items count="3">
        <item x="0"/>
        <item x="1"/>
        <item t="default"/>
      </items>
    </pivotField>
    <pivotField showAll="0">
      <items count="5">
        <item x="1"/>
        <item x="2"/>
        <item x="3"/>
        <item x="0"/>
        <item t="default"/>
      </items>
    </pivotField>
    <pivotField numFmtId="1" showAll="0"/>
    <pivotField axis="axisRow" showAll="0">
      <items count="4">
        <item x="1"/>
        <item x="2"/>
        <item x="0"/>
        <item t="default"/>
      </items>
    </pivotField>
    <pivotField showAll="0">
      <items count="4">
        <item x="2"/>
        <item x="0"/>
        <item x="1"/>
        <item t="default"/>
      </items>
    </pivotField>
    <pivotField showAll="0">
      <items count="4">
        <item x="1"/>
        <item x="2"/>
        <item x="0"/>
        <item t="default"/>
      </items>
    </pivotField>
    <pivotField showAll="0"/>
  </pivotFields>
  <rowFields count="1">
    <field x="13"/>
  </rowFields>
  <rowItems count="4">
    <i>
      <x/>
    </i>
    <i>
      <x v="1"/>
    </i>
    <i>
      <x v="2"/>
    </i>
    <i t="grand">
      <x/>
    </i>
  </rowItems>
  <colFields count="1">
    <field x="10"/>
  </colFields>
  <colItems count="3">
    <i>
      <x/>
    </i>
    <i>
      <x v="1"/>
    </i>
    <i t="grand">
      <x/>
    </i>
  </colItems>
  <dataFields count="1">
    <dataField name="Passengers" fld="0" subtotal="count" baseField="4"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BB95E8-4E37-4588-AAE8-69DC8897FB94}"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Age Group" colHeaderCaption="Survival Status">
  <location ref="A24:D30" firstHeaderRow="1" firstDataRow="2" firstDataCol="1"/>
  <pivotFields count="17">
    <pivotField dataField="1" numFmtId="1" showAll="0"/>
    <pivotField numFmtId="1" showAll="0"/>
    <pivotField numFmtId="1" showAll="0"/>
    <pivotField showAll="0"/>
    <pivotField showAll="0">
      <items count="3">
        <item x="1"/>
        <item x="0"/>
        <item t="default"/>
      </items>
    </pivotField>
    <pivotField numFmtId="165" showAll="0"/>
    <pivotField numFmtId="1" showAll="0"/>
    <pivotField numFmtId="1" showAll="0"/>
    <pivotField showAll="0"/>
    <pivotField numFmtId="164" showAll="0"/>
    <pivotField axis="axisCol" showAll="0">
      <items count="3">
        <item x="0"/>
        <item x="1"/>
        <item t="default"/>
      </items>
    </pivotField>
    <pivotField axis="axisRow" showAll="0">
      <items count="5">
        <item x="1"/>
        <item x="2"/>
        <item x="3"/>
        <item x="0"/>
        <item t="default"/>
      </items>
    </pivotField>
    <pivotField numFmtId="1" showAll="0"/>
    <pivotField showAll="0">
      <items count="4">
        <item x="1"/>
        <item x="2"/>
        <item x="0"/>
        <item t="default"/>
      </items>
    </pivotField>
    <pivotField showAll="0">
      <items count="4">
        <item x="2"/>
        <item x="0"/>
        <item x="1"/>
        <item t="default"/>
      </items>
    </pivotField>
    <pivotField showAll="0">
      <items count="4">
        <item x="1"/>
        <item x="2"/>
        <item x="0"/>
        <item t="default"/>
      </items>
    </pivotField>
    <pivotField showAll="0"/>
  </pivotFields>
  <rowFields count="1">
    <field x="11"/>
  </rowFields>
  <rowItems count="5">
    <i>
      <x/>
    </i>
    <i>
      <x v="1"/>
    </i>
    <i>
      <x v="2"/>
    </i>
    <i>
      <x v="3"/>
    </i>
    <i t="grand">
      <x/>
    </i>
  </rowItems>
  <colFields count="1">
    <field x="10"/>
  </colFields>
  <colItems count="3">
    <i>
      <x/>
    </i>
    <i>
      <x v="1"/>
    </i>
    <i t="grand">
      <x/>
    </i>
  </colItems>
  <dataFields count="1">
    <dataField name="Passengers" fld="0" subtotal="count" baseField="4" baseItem="0"/>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8" format="4" series="1">
      <pivotArea type="data" outline="0" fieldPosition="0">
        <references count="2">
          <reference field="4294967294" count="1" selected="0">
            <x v="0"/>
          </reference>
          <reference field="10" count="1" selected="0">
            <x v="0"/>
          </reference>
        </references>
      </pivotArea>
    </chartFormat>
    <chartFormat chart="8" format="5" series="1">
      <pivotArea type="data" outline="0" fieldPosition="0">
        <references count="2">
          <reference field="4294967294" count="1" selected="0">
            <x v="0"/>
          </reference>
          <reference field="10" count="1" selected="0">
            <x v="1"/>
          </reference>
        </references>
      </pivotArea>
    </chartFormat>
    <chartFormat chart="8" format="6">
      <pivotArea type="data" outline="0" fieldPosition="0">
        <references count="3">
          <reference field="4294967294" count="1" selected="0">
            <x v="0"/>
          </reference>
          <reference field="10" count="1" selected="0">
            <x v="1"/>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255240-72EF-4180-A39B-4943762F08AF}"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Passenger Class" colHeaderCaption="Survival Status">
  <location ref="A16:D21" firstHeaderRow="1" firstDataRow="2" firstDataCol="1"/>
  <pivotFields count="17">
    <pivotField dataField="1" numFmtId="1" showAll="0"/>
    <pivotField numFmtId="1" showAll="0"/>
    <pivotField numFmtId="1" showAll="0"/>
    <pivotField showAll="0"/>
    <pivotField showAll="0">
      <items count="3">
        <item x="1"/>
        <item x="0"/>
        <item t="default"/>
      </items>
    </pivotField>
    <pivotField numFmtId="165" showAll="0"/>
    <pivotField numFmtId="1" showAll="0"/>
    <pivotField numFmtId="1" showAll="0"/>
    <pivotField showAll="0"/>
    <pivotField numFmtId="164" showAll="0"/>
    <pivotField axis="axisCol" showAll="0">
      <items count="3">
        <item x="0"/>
        <item x="1"/>
        <item t="default"/>
      </items>
    </pivotField>
    <pivotField showAll="0">
      <items count="5">
        <item x="1"/>
        <item x="2"/>
        <item x="3"/>
        <item x="0"/>
        <item t="default"/>
      </items>
    </pivotField>
    <pivotField numFmtId="1" showAll="0"/>
    <pivotField showAll="0">
      <items count="4">
        <item x="1"/>
        <item x="2"/>
        <item x="0"/>
        <item t="default"/>
      </items>
    </pivotField>
    <pivotField showAll="0">
      <items count="4">
        <item x="2"/>
        <item x="0"/>
        <item x="1"/>
        <item t="default"/>
      </items>
    </pivotField>
    <pivotField axis="axisRow" showAll="0">
      <items count="4">
        <item x="1"/>
        <item x="2"/>
        <item x="0"/>
        <item t="default"/>
      </items>
    </pivotField>
    <pivotField showAll="0"/>
  </pivotFields>
  <rowFields count="1">
    <field x="15"/>
  </rowFields>
  <rowItems count="4">
    <i>
      <x/>
    </i>
    <i>
      <x v="1"/>
    </i>
    <i>
      <x v="2"/>
    </i>
    <i t="grand">
      <x/>
    </i>
  </rowItems>
  <colFields count="1">
    <field x="10"/>
  </colFields>
  <colItems count="3">
    <i>
      <x/>
    </i>
    <i>
      <x v="1"/>
    </i>
    <i t="grand">
      <x/>
    </i>
  </colItems>
  <dataFields count="1">
    <dataField name="Passengers" fld="0" subtotal="count" baseField="4"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3D5F7-6D08-4FC2-911C-F019F72A987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Sex" colHeaderCaption="Survival Status">
  <location ref="A9:D13" firstHeaderRow="1" firstDataRow="2" firstDataCol="1"/>
  <pivotFields count="17">
    <pivotField dataField="1" numFmtId="1" showAll="0"/>
    <pivotField numFmtId="1" showAll="0"/>
    <pivotField numFmtId="1" showAll="0"/>
    <pivotField showAll="0"/>
    <pivotField axis="axisRow" showAll="0">
      <items count="3">
        <item x="1"/>
        <item x="0"/>
        <item t="default"/>
      </items>
    </pivotField>
    <pivotField numFmtId="165" showAll="0"/>
    <pivotField numFmtId="1" showAll="0"/>
    <pivotField numFmtId="1" showAll="0"/>
    <pivotField showAll="0"/>
    <pivotField numFmtId="164" showAll="0"/>
    <pivotField axis="axisCol" showAll="0">
      <items count="3">
        <item x="0"/>
        <item x="1"/>
        <item t="default"/>
      </items>
    </pivotField>
    <pivotField showAll="0">
      <items count="5">
        <item x="1"/>
        <item x="2"/>
        <item x="3"/>
        <item x="0"/>
        <item t="default"/>
      </items>
    </pivotField>
    <pivotField numFmtId="1" showAll="0"/>
    <pivotField showAll="0">
      <items count="4">
        <item x="1"/>
        <item x="2"/>
        <item x="0"/>
        <item t="default"/>
      </items>
    </pivotField>
    <pivotField showAll="0">
      <items count="4">
        <item x="2"/>
        <item x="0"/>
        <item x="1"/>
        <item t="default"/>
      </items>
    </pivotField>
    <pivotField showAll="0">
      <items count="4">
        <item x="1"/>
        <item x="2"/>
        <item x="0"/>
        <item t="default"/>
      </items>
    </pivotField>
    <pivotField showAll="0"/>
  </pivotFields>
  <rowFields count="1">
    <field x="4"/>
  </rowFields>
  <rowItems count="3">
    <i>
      <x/>
    </i>
    <i>
      <x v="1"/>
    </i>
    <i t="grand">
      <x/>
    </i>
  </rowItems>
  <colFields count="1">
    <field x="10"/>
  </colFields>
  <colItems count="3">
    <i>
      <x/>
    </i>
    <i>
      <x v="1"/>
    </i>
    <i t="grand">
      <x/>
    </i>
  </colItems>
  <dataFields count="1">
    <dataField name="Passengers" fld="0" subtotal="count" baseField="4"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8" format="4" series="1">
      <pivotArea type="data" outline="0" fieldPosition="0">
        <references count="2">
          <reference field="4294967294" count="1" selected="0">
            <x v="0"/>
          </reference>
          <reference field="10" count="1" selected="0">
            <x v="0"/>
          </reference>
        </references>
      </pivotArea>
    </chartFormat>
    <chartFormat chart="8"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5E6EB701-BC71-4D56-A380-53777CA187C6}" sourceName="Sex">
  <pivotTables>
    <pivotTable tabId="9" name="PivotTable4"/>
    <pivotTable tabId="9" name="PivotTable12"/>
    <pivotTable tabId="9" name="PivotTable17"/>
    <pivotTable tabId="9" name="PivotTable18"/>
    <pivotTable tabId="9" name="PivotTable19"/>
    <pivotTable tabId="9" name="PivotTable20"/>
  </pivotTables>
  <data>
    <tabular pivotCacheId="81417762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3E34934-F533-47F2-8409-8681458DA12A}" sourceName="Age Group">
  <pivotTables>
    <pivotTable tabId="9" name="PivotTable4"/>
    <pivotTable tabId="9" name="PivotTable12"/>
    <pivotTable tabId="9" name="PivotTable17"/>
    <pivotTable tabId="9" name="PivotTable18"/>
    <pivotTable tabId="9" name="PivotTable19"/>
    <pivotTable tabId="9" name="PivotTable20"/>
  </pivotTables>
  <data>
    <tabular pivotCacheId="814177626">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Group" xr10:uid="{FDC8516F-9C5C-480F-B915-21391FB24B3A}" sourceName="Family Group">
  <pivotTables>
    <pivotTable tabId="9" name="PivotTable4"/>
    <pivotTable tabId="9" name="PivotTable12"/>
    <pivotTable tabId="9" name="PivotTable17"/>
    <pivotTable tabId="9" name="PivotTable18"/>
    <pivotTable tabId="9" name="PivotTable19"/>
    <pivotTable tabId="9" name="PivotTable20"/>
  </pivotTables>
  <data>
    <tabular pivotCacheId="81417762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Category" xr10:uid="{AEBF48C8-85DE-4C37-B85B-48988254E5B7}" sourceName="Fare Category">
  <pivotTables>
    <pivotTable tabId="9" name="PivotTable4"/>
    <pivotTable tabId="9" name="PivotTable12"/>
    <pivotTable tabId="9" name="PivotTable17"/>
    <pivotTable tabId="9" name="PivotTable18"/>
    <pivotTable tabId="9" name="PivotTable19"/>
    <pivotTable tabId="9" name="PivotTable20"/>
  </pivotTables>
  <data>
    <tabular pivotCacheId="814177626">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Class" xr10:uid="{872E87D9-6F7A-4C27-A1C2-E877B8F74FB3}" sourceName="Passenger Class">
  <pivotTables>
    <pivotTable tabId="9" name="PivotTable4"/>
    <pivotTable tabId="9" name="PivotTable12"/>
    <pivotTable tabId="9" name="PivotTable17"/>
    <pivotTable tabId="9" name="PivotTable18"/>
    <pivotTable tabId="9" name="PivotTable19"/>
    <pivotTable tabId="9" name="PivotTable20"/>
  </pivotTables>
  <data>
    <tabular pivotCacheId="81417762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070F57E1-837A-4814-8744-AF49E92781A9}" cache="Slicer_Sex" caption="Sex" rowHeight="234950"/>
  <slicer name="Age Group" xr10:uid="{9E86E187-474C-4D1C-88D2-3F1FDF47AB4D}" cache="Slicer_Age_Group" caption="Age Group" rowHeight="234950"/>
  <slicer name="Family Group" xr10:uid="{EB7ED4F9-087C-45AA-9B3E-151D97671CBD}" cache="Slicer_Family_Group" caption="Family Group" rowHeight="234950"/>
  <slicer name="Fare Category" xr10:uid="{38B9C6D6-E307-45C6-99FE-22FC9CFECE50}" cache="Slicer_Fare_Category" caption="Fare Category" rowHeight="234950"/>
  <slicer name="Passenger Class" xr10:uid="{B2CCA624-543A-4427-905C-EA0023588E32}" cache="Slicer_Passenger_Class" caption="Passenger Clas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DE251AAA-A538-4EF9-A7C7-591E6A9D049E}" cache="Slicer_Sex" caption="Gender" columnCount="2" rowHeight="234950"/>
  <slicer name="Age Group 1" xr10:uid="{2FF070EA-843C-4D86-B8C8-2E3D7DD793E3}" cache="Slicer_Age_Group" caption="Age Group" columnCount="2" rowHeight="234950"/>
  <slicer name="Family Group 1" xr10:uid="{D1A58FBF-DED8-467B-8B01-87995F5AA65B}" cache="Slicer_Family_Group" caption="Family Group" rowHeight="234950"/>
  <slicer name="Fare Category 1" xr10:uid="{CB88A1CC-37D1-4622-9AB6-1E70C508797E}" cache="Slicer_Fare_Category" caption="Fare" rowHeight="234950"/>
  <slicer name="Passenger Class 1" xr10:uid="{E658AE3C-FCA6-4253-A709-60E5C41D5902}" cache="Slicer_Passenger_Class" caption="Clas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865FB3-8DFC-4748-832B-1CF0EE0D503E}" name="Table3" displayName="Table3" ref="A1:Q892" totalsRowShown="0" headerRowDxfId="22" dataDxfId="21" tableBorderDxfId="20">
  <autoFilter ref="A1:Q892" xr:uid="{9A865FB3-8DFC-4748-832B-1CF0EE0D503E}"/>
  <tableColumns count="17">
    <tableColumn id="1" xr3:uid="{6CB5676D-E566-41F8-9D50-979D9BE179DC}" name="PassengerId" dataDxfId="19"/>
    <tableColumn id="2" xr3:uid="{C053B945-DB6A-40EF-9544-94337DBAC315}" name="Survived" dataDxfId="18"/>
    <tableColumn id="3" xr3:uid="{F805D6AC-4AAC-4143-81FD-075D7851264E}" name="Pclass" dataDxfId="17"/>
    <tableColumn id="4" xr3:uid="{A944E958-BBBB-43CE-AB28-DBA70D877C26}" name="Name" dataDxfId="16"/>
    <tableColumn id="5" xr3:uid="{E38B3A6A-9F85-4C79-A6CB-CC02A927D3BD}" name="Sex" dataDxfId="15"/>
    <tableColumn id="6" xr3:uid="{7D700883-2FF3-451B-9442-76545F261D6E}" name="Age" dataDxfId="14"/>
    <tableColumn id="7" xr3:uid="{EF842881-A865-478E-B587-A4760CE3F1BD}" name="SibSp" dataDxfId="13"/>
    <tableColumn id="8" xr3:uid="{A9F2F176-0571-45D6-8006-69DB1CFA987F}" name="Parch" dataDxfId="12"/>
    <tableColumn id="9" xr3:uid="{4F409172-79CC-4227-9226-EA3BD2186629}" name="Ticket" dataDxfId="11"/>
    <tableColumn id="10" xr3:uid="{3D192DD3-9F2B-4D4E-832F-FA555B3843FF}" name="Fare" dataDxfId="10"/>
    <tableColumn id="11" xr3:uid="{131118BE-8ABF-4012-B528-59B739EECFCC}" name="Survival Status" dataDxfId="9">
      <calculatedColumnFormula>IF(B2=1, "Survived", "Died")</calculatedColumnFormula>
    </tableColumn>
    <tableColumn id="12" xr3:uid="{92E70023-6B4C-4F18-980E-7D2F3D3527EF}" name="Age Group" dataDxfId="8">
      <calculatedColumnFormula>IF(F2&lt;18, "Child", IF(F2&lt;35, "Young Adult", IF(F2&lt;60, "Adult", "Senior")))</calculatedColumnFormula>
    </tableColumn>
    <tableColumn id="13" xr3:uid="{7B371D02-3C34-4EEB-B3E7-3D3372FA159F}" name="Family Size" dataDxfId="7">
      <calculatedColumnFormula>G2+H2+1</calculatedColumnFormula>
    </tableColumn>
    <tableColumn id="14" xr3:uid="{D6C3E838-B412-429C-9A0A-66F84FD8AB73}" name="Family Group" dataDxfId="6">
      <calculatedColumnFormula>IF(M2=1,"Alone",IF(M2&lt;=4,"Small Family","Large Family"))</calculatedColumnFormula>
    </tableColumn>
    <tableColumn id="15" xr3:uid="{9C74934A-780B-4191-8457-408A74D9BC16}" name="Fare Category" dataDxfId="5">
      <calculatedColumnFormula>IF(J2&lt;25, "Low Fare", IF(J2&lt;=100, "Medium Fare", "High Fare"))</calculatedColumnFormula>
    </tableColumn>
    <tableColumn id="16" xr3:uid="{DC1A66F9-6F1C-4B9A-8CF5-81502D2CDAF1}" name="Passenger Class" dataDxfId="4">
      <calculatedColumnFormula>IF(C2=1, "First Class", IF(C2=2, "Second Class", "Third Class"))</calculatedColumnFormula>
    </tableColumn>
    <tableColumn id="17" xr3:uid="{FBEFA320-2EF1-4B68-9920-DE721490BCCF}" name="Gender Code" dataDxfId="3">
      <calculatedColumnFormula>IF(E2="male", 1, 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6B82-7B31-48CA-B587-E2152482CD23}">
  <dimension ref="A1:J892"/>
  <sheetViews>
    <sheetView workbookViewId="0">
      <selection activeCell="C26" sqref="C26"/>
    </sheetView>
  </sheetViews>
  <sheetFormatPr defaultRowHeight="14.4" x14ac:dyDescent="0.3"/>
  <cols>
    <col min="1" max="1" width="13.33203125" bestFit="1" customWidth="1"/>
    <col min="2" max="2" width="10.5546875" bestFit="1" customWidth="1"/>
    <col min="3" max="3" width="8.21875" bestFit="1" customWidth="1"/>
    <col min="4" max="4" width="68.88671875" bestFit="1" customWidth="1"/>
    <col min="5" max="5" width="6.6640625" bestFit="1" customWidth="1"/>
    <col min="6" max="6" width="6.44140625" bestFit="1" customWidth="1"/>
    <col min="7" max="7" width="7.88671875" bestFit="1" customWidth="1"/>
    <col min="8" max="8" width="8" bestFit="1" customWidth="1"/>
    <col min="9" max="9" width="19.109375" bestFit="1" customWidth="1"/>
    <col min="10" max="10" width="9" bestFit="1" customWidth="1"/>
  </cols>
  <sheetData>
    <row r="1" spans="1:10" x14ac:dyDescent="0.3">
      <c r="A1" s="4" t="s">
        <v>0</v>
      </c>
      <c r="B1" s="5" t="s">
        <v>1</v>
      </c>
      <c r="C1" s="5" t="s">
        <v>2</v>
      </c>
      <c r="D1" s="5" t="s">
        <v>3</v>
      </c>
      <c r="E1" s="5" t="s">
        <v>4</v>
      </c>
      <c r="F1" s="5" t="s">
        <v>5</v>
      </c>
      <c r="G1" s="5" t="s">
        <v>6</v>
      </c>
      <c r="H1" s="5" t="s">
        <v>7</v>
      </c>
      <c r="I1" s="5" t="s">
        <v>8</v>
      </c>
      <c r="J1" s="6" t="s">
        <v>9</v>
      </c>
    </row>
    <row r="2" spans="1:10" x14ac:dyDescent="0.3">
      <c r="A2" s="7">
        <v>1</v>
      </c>
      <c r="B2" s="8">
        <v>0</v>
      </c>
      <c r="C2" s="8">
        <v>3</v>
      </c>
      <c r="D2" s="8" t="s">
        <v>10</v>
      </c>
      <c r="E2" s="8" t="s">
        <v>11</v>
      </c>
      <c r="F2" s="8">
        <v>22</v>
      </c>
      <c r="G2" s="8">
        <v>1</v>
      </c>
      <c r="H2" s="8">
        <v>0</v>
      </c>
      <c r="I2" s="8" t="s">
        <v>12</v>
      </c>
      <c r="J2" s="9">
        <v>7.25</v>
      </c>
    </row>
    <row r="3" spans="1:10" x14ac:dyDescent="0.3">
      <c r="A3" s="10">
        <v>2</v>
      </c>
      <c r="B3" s="11">
        <v>1</v>
      </c>
      <c r="C3" s="11">
        <v>1</v>
      </c>
      <c r="D3" s="11" t="s">
        <v>13</v>
      </c>
      <c r="E3" s="11" t="s">
        <v>14</v>
      </c>
      <c r="F3" s="11">
        <v>38</v>
      </c>
      <c r="G3" s="11">
        <v>1</v>
      </c>
      <c r="H3" s="11">
        <v>0</v>
      </c>
      <c r="I3" s="11" t="s">
        <v>15</v>
      </c>
      <c r="J3" s="12">
        <v>71.283299999999997</v>
      </c>
    </row>
    <row r="4" spans="1:10" x14ac:dyDescent="0.3">
      <c r="A4" s="7">
        <v>3</v>
      </c>
      <c r="B4" s="8">
        <v>1</v>
      </c>
      <c r="C4" s="8">
        <v>3</v>
      </c>
      <c r="D4" s="8" t="s">
        <v>16</v>
      </c>
      <c r="E4" s="8" t="s">
        <v>14</v>
      </c>
      <c r="F4" s="8">
        <v>26</v>
      </c>
      <c r="G4" s="8">
        <v>0</v>
      </c>
      <c r="H4" s="8">
        <v>0</v>
      </c>
      <c r="I4" s="8" t="s">
        <v>17</v>
      </c>
      <c r="J4" s="9">
        <v>7.9249999999999998</v>
      </c>
    </row>
    <row r="5" spans="1:10" x14ac:dyDescent="0.3">
      <c r="A5" s="10">
        <v>4</v>
      </c>
      <c r="B5" s="11">
        <v>1</v>
      </c>
      <c r="C5" s="11">
        <v>1</v>
      </c>
      <c r="D5" s="11" t="s">
        <v>18</v>
      </c>
      <c r="E5" s="11" t="s">
        <v>14</v>
      </c>
      <c r="F5" s="11">
        <v>35</v>
      </c>
      <c r="G5" s="11">
        <v>1</v>
      </c>
      <c r="H5" s="11">
        <v>0</v>
      </c>
      <c r="I5" s="11" t="s">
        <v>19</v>
      </c>
      <c r="J5" s="12">
        <v>53.1</v>
      </c>
    </row>
    <row r="6" spans="1:10" x14ac:dyDescent="0.3">
      <c r="A6" s="7">
        <v>5</v>
      </c>
      <c r="B6" s="8">
        <v>0</v>
      </c>
      <c r="C6" s="8">
        <v>3</v>
      </c>
      <c r="D6" s="8" t="s">
        <v>20</v>
      </c>
      <c r="E6" s="8" t="s">
        <v>11</v>
      </c>
      <c r="F6" s="8">
        <v>35</v>
      </c>
      <c r="G6" s="8">
        <v>0</v>
      </c>
      <c r="H6" s="8">
        <v>0</v>
      </c>
      <c r="I6" s="8" t="s">
        <v>21</v>
      </c>
      <c r="J6" s="9">
        <v>8.0500000000000007</v>
      </c>
    </row>
    <row r="7" spans="1:10" x14ac:dyDescent="0.3">
      <c r="A7" s="10">
        <v>6</v>
      </c>
      <c r="B7" s="11">
        <v>0</v>
      </c>
      <c r="C7" s="11">
        <v>3</v>
      </c>
      <c r="D7" s="11" t="s">
        <v>22</v>
      </c>
      <c r="E7" s="11" t="s">
        <v>11</v>
      </c>
      <c r="F7" s="11"/>
      <c r="G7" s="11">
        <v>0</v>
      </c>
      <c r="H7" s="11">
        <v>0</v>
      </c>
      <c r="I7" s="11" t="s">
        <v>23</v>
      </c>
      <c r="J7" s="12">
        <v>8.4582999999999995</v>
      </c>
    </row>
    <row r="8" spans="1:10" x14ac:dyDescent="0.3">
      <c r="A8" s="7">
        <v>7</v>
      </c>
      <c r="B8" s="8">
        <v>0</v>
      </c>
      <c r="C8" s="8">
        <v>1</v>
      </c>
      <c r="D8" s="8" t="s">
        <v>24</v>
      </c>
      <c r="E8" s="8" t="s">
        <v>11</v>
      </c>
      <c r="F8" s="8">
        <v>54</v>
      </c>
      <c r="G8" s="8">
        <v>0</v>
      </c>
      <c r="H8" s="8">
        <v>0</v>
      </c>
      <c r="I8" s="8" t="s">
        <v>25</v>
      </c>
      <c r="J8" s="9">
        <v>51.862499999999997</v>
      </c>
    </row>
    <row r="9" spans="1:10" x14ac:dyDescent="0.3">
      <c r="A9" s="10">
        <v>8</v>
      </c>
      <c r="B9" s="11">
        <v>0</v>
      </c>
      <c r="C9" s="11">
        <v>3</v>
      </c>
      <c r="D9" s="11" t="s">
        <v>26</v>
      </c>
      <c r="E9" s="11" t="s">
        <v>11</v>
      </c>
      <c r="F9" s="11">
        <v>2</v>
      </c>
      <c r="G9" s="11">
        <v>3</v>
      </c>
      <c r="H9" s="11">
        <v>1</v>
      </c>
      <c r="I9" s="11" t="s">
        <v>27</v>
      </c>
      <c r="J9" s="12">
        <v>21.074999999999999</v>
      </c>
    </row>
    <row r="10" spans="1:10" x14ac:dyDescent="0.3">
      <c r="A10" s="7">
        <v>9</v>
      </c>
      <c r="B10" s="8">
        <v>1</v>
      </c>
      <c r="C10" s="8">
        <v>3</v>
      </c>
      <c r="D10" s="8" t="s">
        <v>28</v>
      </c>
      <c r="E10" s="8" t="s">
        <v>14</v>
      </c>
      <c r="F10" s="8">
        <v>27</v>
      </c>
      <c r="G10" s="8">
        <v>0</v>
      </c>
      <c r="H10" s="8">
        <v>2</v>
      </c>
      <c r="I10" s="8" t="s">
        <v>29</v>
      </c>
      <c r="J10" s="9">
        <v>11.1333</v>
      </c>
    </row>
    <row r="11" spans="1:10" x14ac:dyDescent="0.3">
      <c r="A11" s="10">
        <v>10</v>
      </c>
      <c r="B11" s="11">
        <v>1</v>
      </c>
      <c r="C11" s="11">
        <v>2</v>
      </c>
      <c r="D11" s="11" t="s">
        <v>30</v>
      </c>
      <c r="E11" s="11" t="s">
        <v>14</v>
      </c>
      <c r="F11" s="11">
        <v>14</v>
      </c>
      <c r="G11" s="11">
        <v>1</v>
      </c>
      <c r="H11" s="11">
        <v>0</v>
      </c>
      <c r="I11" s="11" t="s">
        <v>31</v>
      </c>
      <c r="J11" s="12">
        <v>30.070799999999998</v>
      </c>
    </row>
    <row r="12" spans="1:10" x14ac:dyDescent="0.3">
      <c r="A12" s="7">
        <v>11</v>
      </c>
      <c r="B12" s="8">
        <v>1</v>
      </c>
      <c r="C12" s="8">
        <v>3</v>
      </c>
      <c r="D12" s="8" t="s">
        <v>32</v>
      </c>
      <c r="E12" s="8" t="s">
        <v>14</v>
      </c>
      <c r="F12" s="8">
        <v>4</v>
      </c>
      <c r="G12" s="8">
        <v>1</v>
      </c>
      <c r="H12" s="8">
        <v>1</v>
      </c>
      <c r="I12" s="8" t="s">
        <v>33</v>
      </c>
      <c r="J12" s="9">
        <v>16.7</v>
      </c>
    </row>
    <row r="13" spans="1:10" x14ac:dyDescent="0.3">
      <c r="A13" s="10">
        <v>12</v>
      </c>
      <c r="B13" s="11">
        <v>1</v>
      </c>
      <c r="C13" s="11">
        <v>1</v>
      </c>
      <c r="D13" s="11" t="s">
        <v>34</v>
      </c>
      <c r="E13" s="11" t="s">
        <v>14</v>
      </c>
      <c r="F13" s="11">
        <v>58</v>
      </c>
      <c r="G13" s="11">
        <v>0</v>
      </c>
      <c r="H13" s="11">
        <v>0</v>
      </c>
      <c r="I13" s="11" t="s">
        <v>35</v>
      </c>
      <c r="J13" s="12">
        <v>26.55</v>
      </c>
    </row>
    <row r="14" spans="1:10" x14ac:dyDescent="0.3">
      <c r="A14" s="7">
        <v>13</v>
      </c>
      <c r="B14" s="8">
        <v>0</v>
      </c>
      <c r="C14" s="8">
        <v>3</v>
      </c>
      <c r="D14" s="8" t="s">
        <v>36</v>
      </c>
      <c r="E14" s="8" t="s">
        <v>11</v>
      </c>
      <c r="F14" s="8">
        <v>20</v>
      </c>
      <c r="G14" s="8">
        <v>0</v>
      </c>
      <c r="H14" s="8">
        <v>0</v>
      </c>
      <c r="I14" s="8" t="s">
        <v>37</v>
      </c>
      <c r="J14" s="9">
        <v>8.0500000000000007</v>
      </c>
    </row>
    <row r="15" spans="1:10" x14ac:dyDescent="0.3">
      <c r="A15" s="10">
        <v>14</v>
      </c>
      <c r="B15" s="11">
        <v>0</v>
      </c>
      <c r="C15" s="11">
        <v>3</v>
      </c>
      <c r="D15" s="11" t="s">
        <v>38</v>
      </c>
      <c r="E15" s="11" t="s">
        <v>11</v>
      </c>
      <c r="F15" s="11">
        <v>39</v>
      </c>
      <c r="G15" s="11">
        <v>1</v>
      </c>
      <c r="H15" s="11">
        <v>5</v>
      </c>
      <c r="I15" s="11" t="s">
        <v>39</v>
      </c>
      <c r="J15" s="12">
        <v>31.274999999999999</v>
      </c>
    </row>
    <row r="16" spans="1:10" x14ac:dyDescent="0.3">
      <c r="A16" s="7">
        <v>15</v>
      </c>
      <c r="B16" s="8">
        <v>0</v>
      </c>
      <c r="C16" s="8">
        <v>3</v>
      </c>
      <c r="D16" s="8" t="s">
        <v>40</v>
      </c>
      <c r="E16" s="8" t="s">
        <v>14</v>
      </c>
      <c r="F16" s="8">
        <v>14</v>
      </c>
      <c r="G16" s="8">
        <v>0</v>
      </c>
      <c r="H16" s="8">
        <v>0</v>
      </c>
      <c r="I16" s="8" t="s">
        <v>41</v>
      </c>
      <c r="J16" s="9">
        <v>7.8541999999999996</v>
      </c>
    </row>
    <row r="17" spans="1:10" x14ac:dyDescent="0.3">
      <c r="A17" s="10">
        <v>16</v>
      </c>
      <c r="B17" s="11">
        <v>1</v>
      </c>
      <c r="C17" s="11">
        <v>2</v>
      </c>
      <c r="D17" s="11" t="s">
        <v>42</v>
      </c>
      <c r="E17" s="11" t="s">
        <v>14</v>
      </c>
      <c r="F17" s="11">
        <v>55</v>
      </c>
      <c r="G17" s="11">
        <v>0</v>
      </c>
      <c r="H17" s="11">
        <v>0</v>
      </c>
      <c r="I17" s="11" t="s">
        <v>43</v>
      </c>
      <c r="J17" s="12">
        <v>16</v>
      </c>
    </row>
    <row r="18" spans="1:10" x14ac:dyDescent="0.3">
      <c r="A18" s="7">
        <v>17</v>
      </c>
      <c r="B18" s="8">
        <v>0</v>
      </c>
      <c r="C18" s="8">
        <v>3</v>
      </c>
      <c r="D18" s="8" t="s">
        <v>44</v>
      </c>
      <c r="E18" s="8" t="s">
        <v>11</v>
      </c>
      <c r="F18" s="8">
        <v>2</v>
      </c>
      <c r="G18" s="8">
        <v>4</v>
      </c>
      <c r="H18" s="8">
        <v>1</v>
      </c>
      <c r="I18" s="8" t="s">
        <v>45</v>
      </c>
      <c r="J18" s="9">
        <v>29.125</v>
      </c>
    </row>
    <row r="19" spans="1:10" x14ac:dyDescent="0.3">
      <c r="A19" s="10">
        <v>18</v>
      </c>
      <c r="B19" s="11">
        <v>1</v>
      </c>
      <c r="C19" s="11">
        <v>2</v>
      </c>
      <c r="D19" s="11" t="s">
        <v>46</v>
      </c>
      <c r="E19" s="11" t="s">
        <v>11</v>
      </c>
      <c r="F19" s="11"/>
      <c r="G19" s="11">
        <v>0</v>
      </c>
      <c r="H19" s="11">
        <v>0</v>
      </c>
      <c r="I19" s="11" t="s">
        <v>47</v>
      </c>
      <c r="J19" s="12">
        <v>13</v>
      </c>
    </row>
    <row r="20" spans="1:10" x14ac:dyDescent="0.3">
      <c r="A20" s="7">
        <v>19</v>
      </c>
      <c r="B20" s="8">
        <v>0</v>
      </c>
      <c r="C20" s="8">
        <v>3</v>
      </c>
      <c r="D20" s="8" t="s">
        <v>48</v>
      </c>
      <c r="E20" s="8" t="s">
        <v>14</v>
      </c>
      <c r="F20" s="8">
        <v>31</v>
      </c>
      <c r="G20" s="8">
        <v>1</v>
      </c>
      <c r="H20" s="8">
        <v>0</v>
      </c>
      <c r="I20" s="8" t="s">
        <v>49</v>
      </c>
      <c r="J20" s="9">
        <v>18</v>
      </c>
    </row>
    <row r="21" spans="1:10" x14ac:dyDescent="0.3">
      <c r="A21" s="10">
        <v>20</v>
      </c>
      <c r="B21" s="11">
        <v>1</v>
      </c>
      <c r="C21" s="11">
        <v>3</v>
      </c>
      <c r="D21" s="11" t="s">
        <v>50</v>
      </c>
      <c r="E21" s="11" t="s">
        <v>14</v>
      </c>
      <c r="F21" s="11"/>
      <c r="G21" s="11">
        <v>0</v>
      </c>
      <c r="H21" s="11">
        <v>0</v>
      </c>
      <c r="I21" s="11" t="s">
        <v>51</v>
      </c>
      <c r="J21" s="12">
        <v>7.2249999999999996</v>
      </c>
    </row>
    <row r="22" spans="1:10" x14ac:dyDescent="0.3">
      <c r="A22" s="7">
        <v>21</v>
      </c>
      <c r="B22" s="8">
        <v>0</v>
      </c>
      <c r="C22" s="8">
        <v>2</v>
      </c>
      <c r="D22" s="8" t="s">
        <v>52</v>
      </c>
      <c r="E22" s="8" t="s">
        <v>11</v>
      </c>
      <c r="F22" s="8">
        <v>35</v>
      </c>
      <c r="G22" s="8">
        <v>0</v>
      </c>
      <c r="H22" s="8">
        <v>0</v>
      </c>
      <c r="I22" s="8" t="s">
        <v>53</v>
      </c>
      <c r="J22" s="9">
        <v>26</v>
      </c>
    </row>
    <row r="23" spans="1:10" x14ac:dyDescent="0.3">
      <c r="A23" s="10">
        <v>22</v>
      </c>
      <c r="B23" s="11">
        <v>1</v>
      </c>
      <c r="C23" s="11">
        <v>2</v>
      </c>
      <c r="D23" s="11" t="s">
        <v>54</v>
      </c>
      <c r="E23" s="11" t="s">
        <v>11</v>
      </c>
      <c r="F23" s="11">
        <v>34</v>
      </c>
      <c r="G23" s="11">
        <v>0</v>
      </c>
      <c r="H23" s="11">
        <v>0</v>
      </c>
      <c r="I23" s="11" t="s">
        <v>55</v>
      </c>
      <c r="J23" s="12">
        <v>13</v>
      </c>
    </row>
    <row r="24" spans="1:10" x14ac:dyDescent="0.3">
      <c r="A24" s="7">
        <v>23</v>
      </c>
      <c r="B24" s="8">
        <v>1</v>
      </c>
      <c r="C24" s="8">
        <v>3</v>
      </c>
      <c r="D24" s="8" t="s">
        <v>56</v>
      </c>
      <c r="E24" s="8" t="s">
        <v>14</v>
      </c>
      <c r="F24" s="8">
        <v>15</v>
      </c>
      <c r="G24" s="8">
        <v>0</v>
      </c>
      <c r="H24" s="8">
        <v>0</v>
      </c>
      <c r="I24" s="8" t="s">
        <v>57</v>
      </c>
      <c r="J24" s="9">
        <v>8.0291999999999994</v>
      </c>
    </row>
    <row r="25" spans="1:10" x14ac:dyDescent="0.3">
      <c r="A25" s="10">
        <v>24</v>
      </c>
      <c r="B25" s="11">
        <v>1</v>
      </c>
      <c r="C25" s="11">
        <v>1</v>
      </c>
      <c r="D25" s="11" t="s">
        <v>58</v>
      </c>
      <c r="E25" s="11" t="s">
        <v>11</v>
      </c>
      <c r="F25" s="11">
        <v>28</v>
      </c>
      <c r="G25" s="11">
        <v>0</v>
      </c>
      <c r="H25" s="11">
        <v>0</v>
      </c>
      <c r="I25" s="11" t="s">
        <v>59</v>
      </c>
      <c r="J25" s="12">
        <v>35.5</v>
      </c>
    </row>
    <row r="26" spans="1:10" x14ac:dyDescent="0.3">
      <c r="A26" s="7">
        <v>25</v>
      </c>
      <c r="B26" s="8">
        <v>0</v>
      </c>
      <c r="C26" s="8">
        <v>3</v>
      </c>
      <c r="D26" s="8" t="s">
        <v>60</v>
      </c>
      <c r="E26" s="8" t="s">
        <v>14</v>
      </c>
      <c r="F26" s="8">
        <v>8</v>
      </c>
      <c r="G26" s="8">
        <v>3</v>
      </c>
      <c r="H26" s="8">
        <v>1</v>
      </c>
      <c r="I26" s="8" t="s">
        <v>27</v>
      </c>
      <c r="J26" s="9">
        <v>21.074999999999999</v>
      </c>
    </row>
    <row r="27" spans="1:10" x14ac:dyDescent="0.3">
      <c r="A27" s="10">
        <v>26</v>
      </c>
      <c r="B27" s="11">
        <v>1</v>
      </c>
      <c r="C27" s="11">
        <v>3</v>
      </c>
      <c r="D27" s="11" t="s">
        <v>61</v>
      </c>
      <c r="E27" s="11" t="s">
        <v>14</v>
      </c>
      <c r="F27" s="11">
        <v>38</v>
      </c>
      <c r="G27" s="11">
        <v>1</v>
      </c>
      <c r="H27" s="11">
        <v>5</v>
      </c>
      <c r="I27" s="11" t="s">
        <v>62</v>
      </c>
      <c r="J27" s="12">
        <v>31.387499999999999</v>
      </c>
    </row>
    <row r="28" spans="1:10" x14ac:dyDescent="0.3">
      <c r="A28" s="7">
        <v>27</v>
      </c>
      <c r="B28" s="8">
        <v>0</v>
      </c>
      <c r="C28" s="8">
        <v>3</v>
      </c>
      <c r="D28" s="8" t="s">
        <v>63</v>
      </c>
      <c r="E28" s="8" t="s">
        <v>11</v>
      </c>
      <c r="F28" s="8"/>
      <c r="G28" s="8">
        <v>0</v>
      </c>
      <c r="H28" s="8">
        <v>0</v>
      </c>
      <c r="I28" s="8" t="s">
        <v>64</v>
      </c>
      <c r="J28" s="9">
        <v>7.2249999999999996</v>
      </c>
    </row>
    <row r="29" spans="1:10" x14ac:dyDescent="0.3">
      <c r="A29" s="10">
        <v>28</v>
      </c>
      <c r="B29" s="11">
        <v>0</v>
      </c>
      <c r="C29" s="11">
        <v>1</v>
      </c>
      <c r="D29" s="11" t="s">
        <v>65</v>
      </c>
      <c r="E29" s="11" t="s">
        <v>11</v>
      </c>
      <c r="F29" s="11">
        <v>19</v>
      </c>
      <c r="G29" s="11">
        <v>3</v>
      </c>
      <c r="H29" s="11">
        <v>2</v>
      </c>
      <c r="I29" s="11" t="s">
        <v>66</v>
      </c>
      <c r="J29" s="12">
        <v>263</v>
      </c>
    </row>
    <row r="30" spans="1:10" x14ac:dyDescent="0.3">
      <c r="A30" s="7">
        <v>29</v>
      </c>
      <c r="B30" s="8">
        <v>1</v>
      </c>
      <c r="C30" s="8">
        <v>3</v>
      </c>
      <c r="D30" s="8" t="s">
        <v>67</v>
      </c>
      <c r="E30" s="8" t="s">
        <v>14</v>
      </c>
      <c r="F30" s="8"/>
      <c r="G30" s="8">
        <v>0</v>
      </c>
      <c r="H30" s="8">
        <v>0</v>
      </c>
      <c r="I30" s="8" t="s">
        <v>68</v>
      </c>
      <c r="J30" s="9">
        <v>7.8792</v>
      </c>
    </row>
    <row r="31" spans="1:10" x14ac:dyDescent="0.3">
      <c r="A31" s="10">
        <v>30</v>
      </c>
      <c r="B31" s="11">
        <v>0</v>
      </c>
      <c r="C31" s="11">
        <v>3</v>
      </c>
      <c r="D31" s="11" t="s">
        <v>69</v>
      </c>
      <c r="E31" s="11" t="s">
        <v>11</v>
      </c>
      <c r="F31" s="11"/>
      <c r="G31" s="11">
        <v>0</v>
      </c>
      <c r="H31" s="11">
        <v>0</v>
      </c>
      <c r="I31" s="11" t="s">
        <v>70</v>
      </c>
      <c r="J31" s="12">
        <v>7.8958000000000004</v>
      </c>
    </row>
    <row r="32" spans="1:10" x14ac:dyDescent="0.3">
      <c r="A32" s="7">
        <v>31</v>
      </c>
      <c r="B32" s="8">
        <v>0</v>
      </c>
      <c r="C32" s="8">
        <v>1</v>
      </c>
      <c r="D32" s="8" t="s">
        <v>71</v>
      </c>
      <c r="E32" s="8" t="s">
        <v>11</v>
      </c>
      <c r="F32" s="8">
        <v>40</v>
      </c>
      <c r="G32" s="8">
        <v>0</v>
      </c>
      <c r="H32" s="8">
        <v>0</v>
      </c>
      <c r="I32" s="8" t="s">
        <v>72</v>
      </c>
      <c r="J32" s="9">
        <v>27.720800000000001</v>
      </c>
    </row>
    <row r="33" spans="1:10" x14ac:dyDescent="0.3">
      <c r="A33" s="10">
        <v>32</v>
      </c>
      <c r="B33" s="11">
        <v>1</v>
      </c>
      <c r="C33" s="11">
        <v>1</v>
      </c>
      <c r="D33" s="11" t="s">
        <v>73</v>
      </c>
      <c r="E33" s="11" t="s">
        <v>14</v>
      </c>
      <c r="F33" s="11"/>
      <c r="G33" s="11">
        <v>1</v>
      </c>
      <c r="H33" s="11">
        <v>0</v>
      </c>
      <c r="I33" s="11" t="s">
        <v>74</v>
      </c>
      <c r="J33" s="12">
        <v>146.52080000000001</v>
      </c>
    </row>
    <row r="34" spans="1:10" x14ac:dyDescent="0.3">
      <c r="A34" s="7">
        <v>33</v>
      </c>
      <c r="B34" s="8">
        <v>1</v>
      </c>
      <c r="C34" s="8">
        <v>3</v>
      </c>
      <c r="D34" s="8" t="s">
        <v>75</v>
      </c>
      <c r="E34" s="8" t="s">
        <v>14</v>
      </c>
      <c r="F34" s="8"/>
      <c r="G34" s="8">
        <v>0</v>
      </c>
      <c r="H34" s="8">
        <v>0</v>
      </c>
      <c r="I34" s="8" t="s">
        <v>76</v>
      </c>
      <c r="J34" s="9">
        <v>7.75</v>
      </c>
    </row>
    <row r="35" spans="1:10" x14ac:dyDescent="0.3">
      <c r="A35" s="10">
        <v>34</v>
      </c>
      <c r="B35" s="11">
        <v>0</v>
      </c>
      <c r="C35" s="11">
        <v>2</v>
      </c>
      <c r="D35" s="11" t="s">
        <v>77</v>
      </c>
      <c r="E35" s="11" t="s">
        <v>11</v>
      </c>
      <c r="F35" s="11">
        <v>66</v>
      </c>
      <c r="G35" s="11">
        <v>0</v>
      </c>
      <c r="H35" s="11">
        <v>0</v>
      </c>
      <c r="I35" s="11" t="s">
        <v>78</v>
      </c>
      <c r="J35" s="12">
        <v>10.5</v>
      </c>
    </row>
    <row r="36" spans="1:10" x14ac:dyDescent="0.3">
      <c r="A36" s="7">
        <v>35</v>
      </c>
      <c r="B36" s="8">
        <v>0</v>
      </c>
      <c r="C36" s="8">
        <v>1</v>
      </c>
      <c r="D36" s="8" t="s">
        <v>79</v>
      </c>
      <c r="E36" s="8" t="s">
        <v>11</v>
      </c>
      <c r="F36" s="8">
        <v>28</v>
      </c>
      <c r="G36" s="8">
        <v>1</v>
      </c>
      <c r="H36" s="8">
        <v>0</v>
      </c>
      <c r="I36" s="8" t="s">
        <v>80</v>
      </c>
      <c r="J36" s="9">
        <v>82.1708</v>
      </c>
    </row>
    <row r="37" spans="1:10" x14ac:dyDescent="0.3">
      <c r="A37" s="10">
        <v>36</v>
      </c>
      <c r="B37" s="11">
        <v>0</v>
      </c>
      <c r="C37" s="11">
        <v>1</v>
      </c>
      <c r="D37" s="11" t="s">
        <v>81</v>
      </c>
      <c r="E37" s="11" t="s">
        <v>11</v>
      </c>
      <c r="F37" s="11">
        <v>42</v>
      </c>
      <c r="G37" s="11">
        <v>1</v>
      </c>
      <c r="H37" s="11">
        <v>0</v>
      </c>
      <c r="I37" s="11" t="s">
        <v>82</v>
      </c>
      <c r="J37" s="12">
        <v>52</v>
      </c>
    </row>
    <row r="38" spans="1:10" x14ac:dyDescent="0.3">
      <c r="A38" s="7">
        <v>37</v>
      </c>
      <c r="B38" s="8">
        <v>1</v>
      </c>
      <c r="C38" s="8">
        <v>3</v>
      </c>
      <c r="D38" s="8" t="s">
        <v>83</v>
      </c>
      <c r="E38" s="8" t="s">
        <v>11</v>
      </c>
      <c r="F38" s="8"/>
      <c r="G38" s="8">
        <v>0</v>
      </c>
      <c r="H38" s="8">
        <v>0</v>
      </c>
      <c r="I38" s="8" t="s">
        <v>84</v>
      </c>
      <c r="J38" s="9">
        <v>7.2291999999999996</v>
      </c>
    </row>
    <row r="39" spans="1:10" x14ac:dyDescent="0.3">
      <c r="A39" s="10">
        <v>38</v>
      </c>
      <c r="B39" s="11">
        <v>0</v>
      </c>
      <c r="C39" s="11">
        <v>3</v>
      </c>
      <c r="D39" s="11" t="s">
        <v>85</v>
      </c>
      <c r="E39" s="11" t="s">
        <v>11</v>
      </c>
      <c r="F39" s="11">
        <v>21</v>
      </c>
      <c r="G39" s="11">
        <v>0</v>
      </c>
      <c r="H39" s="11">
        <v>0</v>
      </c>
      <c r="I39" s="11" t="s">
        <v>86</v>
      </c>
      <c r="J39" s="12">
        <v>8.0500000000000007</v>
      </c>
    </row>
    <row r="40" spans="1:10" x14ac:dyDescent="0.3">
      <c r="A40" s="7">
        <v>39</v>
      </c>
      <c r="B40" s="8">
        <v>0</v>
      </c>
      <c r="C40" s="8">
        <v>3</v>
      </c>
      <c r="D40" s="8" t="s">
        <v>87</v>
      </c>
      <c r="E40" s="8" t="s">
        <v>14</v>
      </c>
      <c r="F40" s="8">
        <v>18</v>
      </c>
      <c r="G40" s="8">
        <v>2</v>
      </c>
      <c r="H40" s="8">
        <v>0</v>
      </c>
      <c r="I40" s="8" t="s">
        <v>88</v>
      </c>
      <c r="J40" s="9">
        <v>18</v>
      </c>
    </row>
    <row r="41" spans="1:10" x14ac:dyDescent="0.3">
      <c r="A41" s="10">
        <v>40</v>
      </c>
      <c r="B41" s="11">
        <v>1</v>
      </c>
      <c r="C41" s="11">
        <v>3</v>
      </c>
      <c r="D41" s="11" t="s">
        <v>89</v>
      </c>
      <c r="E41" s="11" t="s">
        <v>14</v>
      </c>
      <c r="F41" s="11">
        <v>14</v>
      </c>
      <c r="G41" s="11">
        <v>1</v>
      </c>
      <c r="H41" s="11">
        <v>0</v>
      </c>
      <c r="I41" s="11" t="s">
        <v>90</v>
      </c>
      <c r="J41" s="12">
        <v>11.2417</v>
      </c>
    </row>
    <row r="42" spans="1:10" x14ac:dyDescent="0.3">
      <c r="A42" s="7">
        <v>41</v>
      </c>
      <c r="B42" s="8">
        <v>0</v>
      </c>
      <c r="C42" s="8">
        <v>3</v>
      </c>
      <c r="D42" s="8" t="s">
        <v>91</v>
      </c>
      <c r="E42" s="8" t="s">
        <v>14</v>
      </c>
      <c r="F42" s="8">
        <v>40</v>
      </c>
      <c r="G42" s="8">
        <v>1</v>
      </c>
      <c r="H42" s="8">
        <v>0</v>
      </c>
      <c r="I42" s="8" t="s">
        <v>92</v>
      </c>
      <c r="J42" s="9">
        <v>9.4749999999999996</v>
      </c>
    </row>
    <row r="43" spans="1:10" x14ac:dyDescent="0.3">
      <c r="A43" s="10">
        <v>42</v>
      </c>
      <c r="B43" s="11">
        <v>0</v>
      </c>
      <c r="C43" s="11">
        <v>2</v>
      </c>
      <c r="D43" s="11" t="s">
        <v>93</v>
      </c>
      <c r="E43" s="11" t="s">
        <v>14</v>
      </c>
      <c r="F43" s="11">
        <v>27</v>
      </c>
      <c r="G43" s="11">
        <v>1</v>
      </c>
      <c r="H43" s="11">
        <v>0</v>
      </c>
      <c r="I43" s="11" t="s">
        <v>94</v>
      </c>
      <c r="J43" s="12">
        <v>21</v>
      </c>
    </row>
    <row r="44" spans="1:10" x14ac:dyDescent="0.3">
      <c r="A44" s="7">
        <v>43</v>
      </c>
      <c r="B44" s="8">
        <v>0</v>
      </c>
      <c r="C44" s="8">
        <v>3</v>
      </c>
      <c r="D44" s="8" t="s">
        <v>95</v>
      </c>
      <c r="E44" s="8" t="s">
        <v>11</v>
      </c>
      <c r="F44" s="8"/>
      <c r="G44" s="8">
        <v>0</v>
      </c>
      <c r="H44" s="8">
        <v>0</v>
      </c>
      <c r="I44" s="8" t="s">
        <v>96</v>
      </c>
      <c r="J44" s="9">
        <v>7.8958000000000004</v>
      </c>
    </row>
    <row r="45" spans="1:10" x14ac:dyDescent="0.3">
      <c r="A45" s="10">
        <v>44</v>
      </c>
      <c r="B45" s="11">
        <v>1</v>
      </c>
      <c r="C45" s="11">
        <v>2</v>
      </c>
      <c r="D45" s="11" t="s">
        <v>97</v>
      </c>
      <c r="E45" s="11" t="s">
        <v>14</v>
      </c>
      <c r="F45" s="11">
        <v>3</v>
      </c>
      <c r="G45" s="11">
        <v>1</v>
      </c>
      <c r="H45" s="11">
        <v>2</v>
      </c>
      <c r="I45" s="11" t="s">
        <v>98</v>
      </c>
      <c r="J45" s="12">
        <v>41.5792</v>
      </c>
    </row>
    <row r="46" spans="1:10" x14ac:dyDescent="0.3">
      <c r="A46" s="7">
        <v>45</v>
      </c>
      <c r="B46" s="8">
        <v>1</v>
      </c>
      <c r="C46" s="8">
        <v>3</v>
      </c>
      <c r="D46" s="8" t="s">
        <v>99</v>
      </c>
      <c r="E46" s="8" t="s">
        <v>14</v>
      </c>
      <c r="F46" s="8">
        <v>19</v>
      </c>
      <c r="G46" s="8">
        <v>0</v>
      </c>
      <c r="H46" s="8">
        <v>0</v>
      </c>
      <c r="I46" s="8" t="s">
        <v>100</v>
      </c>
      <c r="J46" s="9">
        <v>7.8792</v>
      </c>
    </row>
    <row r="47" spans="1:10" x14ac:dyDescent="0.3">
      <c r="A47" s="10">
        <v>46</v>
      </c>
      <c r="B47" s="11">
        <v>0</v>
      </c>
      <c r="C47" s="11">
        <v>3</v>
      </c>
      <c r="D47" s="11" t="s">
        <v>101</v>
      </c>
      <c r="E47" s="11" t="s">
        <v>11</v>
      </c>
      <c r="F47" s="11"/>
      <c r="G47" s="11">
        <v>0</v>
      </c>
      <c r="H47" s="11">
        <v>0</v>
      </c>
      <c r="I47" s="11" t="s">
        <v>102</v>
      </c>
      <c r="J47" s="12">
        <v>8.0500000000000007</v>
      </c>
    </row>
    <row r="48" spans="1:10" x14ac:dyDescent="0.3">
      <c r="A48" s="7">
        <v>47</v>
      </c>
      <c r="B48" s="8">
        <v>0</v>
      </c>
      <c r="C48" s="8">
        <v>3</v>
      </c>
      <c r="D48" s="8" t="s">
        <v>103</v>
      </c>
      <c r="E48" s="8" t="s">
        <v>11</v>
      </c>
      <c r="F48" s="8"/>
      <c r="G48" s="8">
        <v>1</v>
      </c>
      <c r="H48" s="8">
        <v>0</v>
      </c>
      <c r="I48" s="8" t="s">
        <v>104</v>
      </c>
      <c r="J48" s="9">
        <v>15.5</v>
      </c>
    </row>
    <row r="49" spans="1:10" x14ac:dyDescent="0.3">
      <c r="A49" s="10">
        <v>48</v>
      </c>
      <c r="B49" s="11">
        <v>1</v>
      </c>
      <c r="C49" s="11">
        <v>3</v>
      </c>
      <c r="D49" s="11" t="s">
        <v>105</v>
      </c>
      <c r="E49" s="11" t="s">
        <v>14</v>
      </c>
      <c r="F49" s="11"/>
      <c r="G49" s="11">
        <v>0</v>
      </c>
      <c r="H49" s="11">
        <v>0</v>
      </c>
      <c r="I49" s="11" t="s">
        <v>106</v>
      </c>
      <c r="J49" s="12">
        <v>7.75</v>
      </c>
    </row>
    <row r="50" spans="1:10" x14ac:dyDescent="0.3">
      <c r="A50" s="7">
        <v>49</v>
      </c>
      <c r="B50" s="8">
        <v>0</v>
      </c>
      <c r="C50" s="8">
        <v>3</v>
      </c>
      <c r="D50" s="8" t="s">
        <v>107</v>
      </c>
      <c r="E50" s="8" t="s">
        <v>11</v>
      </c>
      <c r="F50" s="8"/>
      <c r="G50" s="8">
        <v>2</v>
      </c>
      <c r="H50" s="8">
        <v>0</v>
      </c>
      <c r="I50" s="8" t="s">
        <v>108</v>
      </c>
      <c r="J50" s="9">
        <v>21.679200000000002</v>
      </c>
    </row>
    <row r="51" spans="1:10" x14ac:dyDescent="0.3">
      <c r="A51" s="10">
        <v>50</v>
      </c>
      <c r="B51" s="11">
        <v>0</v>
      </c>
      <c r="C51" s="11">
        <v>3</v>
      </c>
      <c r="D51" s="11" t="s">
        <v>109</v>
      </c>
      <c r="E51" s="11" t="s">
        <v>14</v>
      </c>
      <c r="F51" s="11">
        <v>18</v>
      </c>
      <c r="G51" s="11">
        <v>1</v>
      </c>
      <c r="H51" s="11">
        <v>0</v>
      </c>
      <c r="I51" s="11" t="s">
        <v>110</v>
      </c>
      <c r="J51" s="12">
        <v>17.8</v>
      </c>
    </row>
    <row r="52" spans="1:10" x14ac:dyDescent="0.3">
      <c r="A52" s="7">
        <v>51</v>
      </c>
      <c r="B52" s="8">
        <v>0</v>
      </c>
      <c r="C52" s="8">
        <v>3</v>
      </c>
      <c r="D52" s="8" t="s">
        <v>111</v>
      </c>
      <c r="E52" s="8" t="s">
        <v>11</v>
      </c>
      <c r="F52" s="8">
        <v>7</v>
      </c>
      <c r="G52" s="8">
        <v>4</v>
      </c>
      <c r="H52" s="8">
        <v>1</v>
      </c>
      <c r="I52" s="8" t="s">
        <v>112</v>
      </c>
      <c r="J52" s="9">
        <v>39.6875</v>
      </c>
    </row>
    <row r="53" spans="1:10" x14ac:dyDescent="0.3">
      <c r="A53" s="10">
        <v>52</v>
      </c>
      <c r="B53" s="11">
        <v>0</v>
      </c>
      <c r="C53" s="11">
        <v>3</v>
      </c>
      <c r="D53" s="11" t="s">
        <v>113</v>
      </c>
      <c r="E53" s="11" t="s">
        <v>11</v>
      </c>
      <c r="F53" s="11">
        <v>21</v>
      </c>
      <c r="G53" s="11">
        <v>0</v>
      </c>
      <c r="H53" s="11">
        <v>0</v>
      </c>
      <c r="I53" s="11" t="s">
        <v>114</v>
      </c>
      <c r="J53" s="12">
        <v>7.8</v>
      </c>
    </row>
    <row r="54" spans="1:10" x14ac:dyDescent="0.3">
      <c r="A54" s="7">
        <v>53</v>
      </c>
      <c r="B54" s="8">
        <v>1</v>
      </c>
      <c r="C54" s="8">
        <v>1</v>
      </c>
      <c r="D54" s="8" t="s">
        <v>115</v>
      </c>
      <c r="E54" s="8" t="s">
        <v>14</v>
      </c>
      <c r="F54" s="8">
        <v>49</v>
      </c>
      <c r="G54" s="8">
        <v>1</v>
      </c>
      <c r="H54" s="8">
        <v>0</v>
      </c>
      <c r="I54" s="8" t="s">
        <v>116</v>
      </c>
      <c r="J54" s="9">
        <v>76.729200000000006</v>
      </c>
    </row>
    <row r="55" spans="1:10" x14ac:dyDescent="0.3">
      <c r="A55" s="10">
        <v>54</v>
      </c>
      <c r="B55" s="11">
        <v>1</v>
      </c>
      <c r="C55" s="11">
        <v>2</v>
      </c>
      <c r="D55" s="11" t="s">
        <v>117</v>
      </c>
      <c r="E55" s="11" t="s">
        <v>14</v>
      </c>
      <c r="F55" s="11">
        <v>29</v>
      </c>
      <c r="G55" s="11">
        <v>1</v>
      </c>
      <c r="H55" s="11">
        <v>0</v>
      </c>
      <c r="I55" s="11" t="s">
        <v>118</v>
      </c>
      <c r="J55" s="12">
        <v>26</v>
      </c>
    </row>
    <row r="56" spans="1:10" x14ac:dyDescent="0.3">
      <c r="A56" s="7">
        <v>55</v>
      </c>
      <c r="B56" s="8">
        <v>0</v>
      </c>
      <c r="C56" s="8">
        <v>1</v>
      </c>
      <c r="D56" s="8" t="s">
        <v>119</v>
      </c>
      <c r="E56" s="8" t="s">
        <v>11</v>
      </c>
      <c r="F56" s="8">
        <v>65</v>
      </c>
      <c r="G56" s="8">
        <v>0</v>
      </c>
      <c r="H56" s="8">
        <v>1</v>
      </c>
      <c r="I56" s="8" t="s">
        <v>120</v>
      </c>
      <c r="J56" s="9">
        <v>61.979199999999999</v>
      </c>
    </row>
    <row r="57" spans="1:10" x14ac:dyDescent="0.3">
      <c r="A57" s="10">
        <v>56</v>
      </c>
      <c r="B57" s="11">
        <v>1</v>
      </c>
      <c r="C57" s="11">
        <v>1</v>
      </c>
      <c r="D57" s="11" t="s">
        <v>121</v>
      </c>
      <c r="E57" s="11" t="s">
        <v>11</v>
      </c>
      <c r="F57" s="11"/>
      <c r="G57" s="11">
        <v>0</v>
      </c>
      <c r="H57" s="11">
        <v>0</v>
      </c>
      <c r="I57" s="11" t="s">
        <v>122</v>
      </c>
      <c r="J57" s="12">
        <v>35.5</v>
      </c>
    </row>
    <row r="58" spans="1:10" x14ac:dyDescent="0.3">
      <c r="A58" s="7">
        <v>57</v>
      </c>
      <c r="B58" s="8">
        <v>1</v>
      </c>
      <c r="C58" s="8">
        <v>2</v>
      </c>
      <c r="D58" s="8" t="s">
        <v>123</v>
      </c>
      <c r="E58" s="8" t="s">
        <v>14</v>
      </c>
      <c r="F58" s="8">
        <v>21</v>
      </c>
      <c r="G58" s="8">
        <v>0</v>
      </c>
      <c r="H58" s="8">
        <v>0</v>
      </c>
      <c r="I58" s="8" t="s">
        <v>124</v>
      </c>
      <c r="J58" s="9">
        <v>10.5</v>
      </c>
    </row>
    <row r="59" spans="1:10" x14ac:dyDescent="0.3">
      <c r="A59" s="10">
        <v>58</v>
      </c>
      <c r="B59" s="11">
        <v>0</v>
      </c>
      <c r="C59" s="11">
        <v>3</v>
      </c>
      <c r="D59" s="11" t="s">
        <v>125</v>
      </c>
      <c r="E59" s="11" t="s">
        <v>11</v>
      </c>
      <c r="F59" s="11">
        <v>28.5</v>
      </c>
      <c r="G59" s="11">
        <v>0</v>
      </c>
      <c r="H59" s="11">
        <v>0</v>
      </c>
      <c r="I59" s="11" t="s">
        <v>126</v>
      </c>
      <c r="J59" s="12">
        <v>7.2291999999999996</v>
      </c>
    </row>
    <row r="60" spans="1:10" x14ac:dyDescent="0.3">
      <c r="A60" s="7">
        <v>59</v>
      </c>
      <c r="B60" s="8">
        <v>1</v>
      </c>
      <c r="C60" s="8">
        <v>2</v>
      </c>
      <c r="D60" s="8" t="s">
        <v>127</v>
      </c>
      <c r="E60" s="8" t="s">
        <v>14</v>
      </c>
      <c r="F60" s="8">
        <v>5</v>
      </c>
      <c r="G60" s="8">
        <v>1</v>
      </c>
      <c r="H60" s="8">
        <v>2</v>
      </c>
      <c r="I60" s="8" t="s">
        <v>128</v>
      </c>
      <c r="J60" s="9">
        <v>27.75</v>
      </c>
    </row>
    <row r="61" spans="1:10" x14ac:dyDescent="0.3">
      <c r="A61" s="10">
        <v>60</v>
      </c>
      <c r="B61" s="11">
        <v>0</v>
      </c>
      <c r="C61" s="11">
        <v>3</v>
      </c>
      <c r="D61" s="11" t="s">
        <v>129</v>
      </c>
      <c r="E61" s="11" t="s">
        <v>11</v>
      </c>
      <c r="F61" s="11">
        <v>11</v>
      </c>
      <c r="G61" s="11">
        <v>5</v>
      </c>
      <c r="H61" s="11">
        <v>2</v>
      </c>
      <c r="I61" s="11" t="s">
        <v>130</v>
      </c>
      <c r="J61" s="12">
        <v>46.9</v>
      </c>
    </row>
    <row r="62" spans="1:10" x14ac:dyDescent="0.3">
      <c r="A62" s="7">
        <v>61</v>
      </c>
      <c r="B62" s="8">
        <v>0</v>
      </c>
      <c r="C62" s="8">
        <v>3</v>
      </c>
      <c r="D62" s="8" t="s">
        <v>131</v>
      </c>
      <c r="E62" s="8" t="s">
        <v>11</v>
      </c>
      <c r="F62" s="8">
        <v>22</v>
      </c>
      <c r="G62" s="8">
        <v>0</v>
      </c>
      <c r="H62" s="8">
        <v>0</v>
      </c>
      <c r="I62" s="8" t="s">
        <v>132</v>
      </c>
      <c r="J62" s="9">
        <v>7.2291999999999996</v>
      </c>
    </row>
    <row r="63" spans="1:10" x14ac:dyDescent="0.3">
      <c r="A63" s="10">
        <v>62</v>
      </c>
      <c r="B63" s="11">
        <v>1</v>
      </c>
      <c r="C63" s="11">
        <v>1</v>
      </c>
      <c r="D63" s="11" t="s">
        <v>133</v>
      </c>
      <c r="E63" s="11" t="s">
        <v>14</v>
      </c>
      <c r="F63" s="11">
        <v>38</v>
      </c>
      <c r="G63" s="11">
        <v>0</v>
      </c>
      <c r="H63" s="11">
        <v>0</v>
      </c>
      <c r="I63" s="11" t="s">
        <v>134</v>
      </c>
      <c r="J63" s="12">
        <v>80</v>
      </c>
    </row>
    <row r="64" spans="1:10" x14ac:dyDescent="0.3">
      <c r="A64" s="7">
        <v>63</v>
      </c>
      <c r="B64" s="8">
        <v>0</v>
      </c>
      <c r="C64" s="8">
        <v>1</v>
      </c>
      <c r="D64" s="8" t="s">
        <v>135</v>
      </c>
      <c r="E64" s="8" t="s">
        <v>11</v>
      </c>
      <c r="F64" s="8">
        <v>45</v>
      </c>
      <c r="G64" s="8">
        <v>1</v>
      </c>
      <c r="H64" s="8">
        <v>0</v>
      </c>
      <c r="I64" s="8" t="s">
        <v>136</v>
      </c>
      <c r="J64" s="9">
        <v>83.474999999999994</v>
      </c>
    </row>
    <row r="65" spans="1:10" x14ac:dyDescent="0.3">
      <c r="A65" s="10">
        <v>64</v>
      </c>
      <c r="B65" s="11">
        <v>0</v>
      </c>
      <c r="C65" s="11">
        <v>3</v>
      </c>
      <c r="D65" s="11" t="s">
        <v>137</v>
      </c>
      <c r="E65" s="11" t="s">
        <v>11</v>
      </c>
      <c r="F65" s="11">
        <v>4</v>
      </c>
      <c r="G65" s="11">
        <v>3</v>
      </c>
      <c r="H65" s="11">
        <v>2</v>
      </c>
      <c r="I65" s="11" t="s">
        <v>138</v>
      </c>
      <c r="J65" s="12">
        <v>27.9</v>
      </c>
    </row>
    <row r="66" spans="1:10" x14ac:dyDescent="0.3">
      <c r="A66" s="7">
        <v>65</v>
      </c>
      <c r="B66" s="8">
        <v>0</v>
      </c>
      <c r="C66" s="8">
        <v>1</v>
      </c>
      <c r="D66" s="8" t="s">
        <v>139</v>
      </c>
      <c r="E66" s="8" t="s">
        <v>11</v>
      </c>
      <c r="F66" s="8"/>
      <c r="G66" s="8">
        <v>0</v>
      </c>
      <c r="H66" s="8">
        <v>0</v>
      </c>
      <c r="I66" s="8" t="s">
        <v>140</v>
      </c>
      <c r="J66" s="9">
        <v>27.720800000000001</v>
      </c>
    </row>
    <row r="67" spans="1:10" x14ac:dyDescent="0.3">
      <c r="A67" s="10">
        <v>66</v>
      </c>
      <c r="B67" s="11">
        <v>1</v>
      </c>
      <c r="C67" s="11">
        <v>3</v>
      </c>
      <c r="D67" s="11" t="s">
        <v>141</v>
      </c>
      <c r="E67" s="11" t="s">
        <v>11</v>
      </c>
      <c r="F67" s="11"/>
      <c r="G67" s="11">
        <v>1</v>
      </c>
      <c r="H67" s="11">
        <v>1</v>
      </c>
      <c r="I67" s="11" t="s">
        <v>142</v>
      </c>
      <c r="J67" s="12">
        <v>15.245799999999999</v>
      </c>
    </row>
    <row r="68" spans="1:10" x14ac:dyDescent="0.3">
      <c r="A68" s="7">
        <v>67</v>
      </c>
      <c r="B68" s="8">
        <v>1</v>
      </c>
      <c r="C68" s="8">
        <v>2</v>
      </c>
      <c r="D68" s="8" t="s">
        <v>143</v>
      </c>
      <c r="E68" s="8" t="s">
        <v>14</v>
      </c>
      <c r="F68" s="8">
        <v>29</v>
      </c>
      <c r="G68" s="8">
        <v>0</v>
      </c>
      <c r="H68" s="8">
        <v>0</v>
      </c>
      <c r="I68" s="8" t="s">
        <v>144</v>
      </c>
      <c r="J68" s="9">
        <v>10.5</v>
      </c>
    </row>
    <row r="69" spans="1:10" x14ac:dyDescent="0.3">
      <c r="A69" s="10">
        <v>68</v>
      </c>
      <c r="B69" s="11">
        <v>0</v>
      </c>
      <c r="C69" s="11">
        <v>3</v>
      </c>
      <c r="D69" s="11" t="s">
        <v>145</v>
      </c>
      <c r="E69" s="11" t="s">
        <v>11</v>
      </c>
      <c r="F69" s="11">
        <v>19</v>
      </c>
      <c r="G69" s="11">
        <v>0</v>
      </c>
      <c r="H69" s="11">
        <v>0</v>
      </c>
      <c r="I69" s="11" t="s">
        <v>146</v>
      </c>
      <c r="J69" s="12">
        <v>8.1583000000000006</v>
      </c>
    </row>
    <row r="70" spans="1:10" x14ac:dyDescent="0.3">
      <c r="A70" s="7">
        <v>69</v>
      </c>
      <c r="B70" s="8">
        <v>1</v>
      </c>
      <c r="C70" s="8">
        <v>3</v>
      </c>
      <c r="D70" s="8" t="s">
        <v>147</v>
      </c>
      <c r="E70" s="8" t="s">
        <v>14</v>
      </c>
      <c r="F70" s="8">
        <v>17</v>
      </c>
      <c r="G70" s="8">
        <v>4</v>
      </c>
      <c r="H70" s="8">
        <v>2</v>
      </c>
      <c r="I70" s="8" t="s">
        <v>148</v>
      </c>
      <c r="J70" s="9">
        <v>7.9249999999999998</v>
      </c>
    </row>
    <row r="71" spans="1:10" x14ac:dyDescent="0.3">
      <c r="A71" s="10">
        <v>70</v>
      </c>
      <c r="B71" s="11">
        <v>0</v>
      </c>
      <c r="C71" s="11">
        <v>3</v>
      </c>
      <c r="D71" s="11" t="s">
        <v>149</v>
      </c>
      <c r="E71" s="11" t="s">
        <v>11</v>
      </c>
      <c r="F71" s="11">
        <v>26</v>
      </c>
      <c r="G71" s="11">
        <v>2</v>
      </c>
      <c r="H71" s="11">
        <v>0</v>
      </c>
      <c r="I71" s="11" t="s">
        <v>150</v>
      </c>
      <c r="J71" s="12">
        <v>8.6624999999999996</v>
      </c>
    </row>
    <row r="72" spans="1:10" x14ac:dyDescent="0.3">
      <c r="A72" s="7">
        <v>71</v>
      </c>
      <c r="B72" s="8">
        <v>0</v>
      </c>
      <c r="C72" s="8">
        <v>2</v>
      </c>
      <c r="D72" s="8" t="s">
        <v>151</v>
      </c>
      <c r="E72" s="8" t="s">
        <v>11</v>
      </c>
      <c r="F72" s="8">
        <v>32</v>
      </c>
      <c r="G72" s="8">
        <v>0</v>
      </c>
      <c r="H72" s="8">
        <v>0</v>
      </c>
      <c r="I72" s="8" t="s">
        <v>152</v>
      </c>
      <c r="J72" s="9">
        <v>10.5</v>
      </c>
    </row>
    <row r="73" spans="1:10" x14ac:dyDescent="0.3">
      <c r="A73" s="10">
        <v>72</v>
      </c>
      <c r="B73" s="11">
        <v>0</v>
      </c>
      <c r="C73" s="11">
        <v>3</v>
      </c>
      <c r="D73" s="11" t="s">
        <v>153</v>
      </c>
      <c r="E73" s="11" t="s">
        <v>14</v>
      </c>
      <c r="F73" s="11">
        <v>16</v>
      </c>
      <c r="G73" s="11">
        <v>5</v>
      </c>
      <c r="H73" s="11">
        <v>2</v>
      </c>
      <c r="I73" s="11" t="s">
        <v>130</v>
      </c>
      <c r="J73" s="12">
        <v>46.9</v>
      </c>
    </row>
    <row r="74" spans="1:10" x14ac:dyDescent="0.3">
      <c r="A74" s="7">
        <v>73</v>
      </c>
      <c r="B74" s="8">
        <v>0</v>
      </c>
      <c r="C74" s="8">
        <v>2</v>
      </c>
      <c r="D74" s="8" t="s">
        <v>154</v>
      </c>
      <c r="E74" s="8" t="s">
        <v>11</v>
      </c>
      <c r="F74" s="8">
        <v>21</v>
      </c>
      <c r="G74" s="8">
        <v>0</v>
      </c>
      <c r="H74" s="8">
        <v>0</v>
      </c>
      <c r="I74" s="8" t="s">
        <v>155</v>
      </c>
      <c r="J74" s="9">
        <v>73.5</v>
      </c>
    </row>
    <row r="75" spans="1:10" x14ac:dyDescent="0.3">
      <c r="A75" s="10">
        <v>74</v>
      </c>
      <c r="B75" s="11">
        <v>0</v>
      </c>
      <c r="C75" s="11">
        <v>3</v>
      </c>
      <c r="D75" s="11" t="s">
        <v>156</v>
      </c>
      <c r="E75" s="11" t="s">
        <v>11</v>
      </c>
      <c r="F75" s="11">
        <v>26</v>
      </c>
      <c r="G75" s="11">
        <v>1</v>
      </c>
      <c r="H75" s="11">
        <v>0</v>
      </c>
      <c r="I75" s="11" t="s">
        <v>157</v>
      </c>
      <c r="J75" s="12">
        <v>14.4542</v>
      </c>
    </row>
    <row r="76" spans="1:10" x14ac:dyDescent="0.3">
      <c r="A76" s="7">
        <v>75</v>
      </c>
      <c r="B76" s="8">
        <v>1</v>
      </c>
      <c r="C76" s="8">
        <v>3</v>
      </c>
      <c r="D76" s="8" t="s">
        <v>158</v>
      </c>
      <c r="E76" s="8" t="s">
        <v>11</v>
      </c>
      <c r="F76" s="8">
        <v>32</v>
      </c>
      <c r="G76" s="8">
        <v>0</v>
      </c>
      <c r="H76" s="8">
        <v>0</v>
      </c>
      <c r="I76" s="8" t="s">
        <v>159</v>
      </c>
      <c r="J76" s="9">
        <v>56.495800000000003</v>
      </c>
    </row>
    <row r="77" spans="1:10" x14ac:dyDescent="0.3">
      <c r="A77" s="10">
        <v>76</v>
      </c>
      <c r="B77" s="11">
        <v>0</v>
      </c>
      <c r="C77" s="11">
        <v>3</v>
      </c>
      <c r="D77" s="11" t="s">
        <v>160</v>
      </c>
      <c r="E77" s="11" t="s">
        <v>11</v>
      </c>
      <c r="F77" s="11">
        <v>25</v>
      </c>
      <c r="G77" s="11">
        <v>0</v>
      </c>
      <c r="H77" s="11">
        <v>0</v>
      </c>
      <c r="I77" s="11" t="s">
        <v>161</v>
      </c>
      <c r="J77" s="12">
        <v>7.65</v>
      </c>
    </row>
    <row r="78" spans="1:10" x14ac:dyDescent="0.3">
      <c r="A78" s="7">
        <v>77</v>
      </c>
      <c r="B78" s="8">
        <v>0</v>
      </c>
      <c r="C78" s="8">
        <v>3</v>
      </c>
      <c r="D78" s="8" t="s">
        <v>162</v>
      </c>
      <c r="E78" s="8" t="s">
        <v>11</v>
      </c>
      <c r="F78" s="8"/>
      <c r="G78" s="8">
        <v>0</v>
      </c>
      <c r="H78" s="8">
        <v>0</v>
      </c>
      <c r="I78" s="8" t="s">
        <v>163</v>
      </c>
      <c r="J78" s="9">
        <v>7.8958000000000004</v>
      </c>
    </row>
    <row r="79" spans="1:10" x14ac:dyDescent="0.3">
      <c r="A79" s="10">
        <v>78</v>
      </c>
      <c r="B79" s="11">
        <v>0</v>
      </c>
      <c r="C79" s="11">
        <v>3</v>
      </c>
      <c r="D79" s="11" t="s">
        <v>164</v>
      </c>
      <c r="E79" s="11" t="s">
        <v>11</v>
      </c>
      <c r="F79" s="11"/>
      <c r="G79" s="11">
        <v>0</v>
      </c>
      <c r="H79" s="11">
        <v>0</v>
      </c>
      <c r="I79" s="11" t="s">
        <v>165</v>
      </c>
      <c r="J79" s="12">
        <v>8.0500000000000007</v>
      </c>
    </row>
    <row r="80" spans="1:10" x14ac:dyDescent="0.3">
      <c r="A80" s="7">
        <v>79</v>
      </c>
      <c r="B80" s="8">
        <v>1</v>
      </c>
      <c r="C80" s="8">
        <v>2</v>
      </c>
      <c r="D80" s="8" t="s">
        <v>166</v>
      </c>
      <c r="E80" s="8" t="s">
        <v>11</v>
      </c>
      <c r="F80" s="8">
        <v>0.83</v>
      </c>
      <c r="G80" s="8">
        <v>0</v>
      </c>
      <c r="H80" s="8">
        <v>2</v>
      </c>
      <c r="I80" s="8" t="s">
        <v>167</v>
      </c>
      <c r="J80" s="9">
        <v>29</v>
      </c>
    </row>
    <row r="81" spans="1:10" x14ac:dyDescent="0.3">
      <c r="A81" s="10">
        <v>80</v>
      </c>
      <c r="B81" s="11">
        <v>1</v>
      </c>
      <c r="C81" s="11">
        <v>3</v>
      </c>
      <c r="D81" s="11" t="s">
        <v>168</v>
      </c>
      <c r="E81" s="11" t="s">
        <v>14</v>
      </c>
      <c r="F81" s="11">
        <v>30</v>
      </c>
      <c r="G81" s="11">
        <v>0</v>
      </c>
      <c r="H81" s="11">
        <v>0</v>
      </c>
      <c r="I81" s="11" t="s">
        <v>169</v>
      </c>
      <c r="J81" s="12">
        <v>12.475</v>
      </c>
    </row>
    <row r="82" spans="1:10" x14ac:dyDescent="0.3">
      <c r="A82" s="7">
        <v>81</v>
      </c>
      <c r="B82" s="8">
        <v>0</v>
      </c>
      <c r="C82" s="8">
        <v>3</v>
      </c>
      <c r="D82" s="8" t="s">
        <v>170</v>
      </c>
      <c r="E82" s="8" t="s">
        <v>11</v>
      </c>
      <c r="F82" s="8">
        <v>22</v>
      </c>
      <c r="G82" s="8">
        <v>0</v>
      </c>
      <c r="H82" s="8">
        <v>0</v>
      </c>
      <c r="I82" s="8" t="s">
        <v>171</v>
      </c>
      <c r="J82" s="9">
        <v>9</v>
      </c>
    </row>
    <row r="83" spans="1:10" x14ac:dyDescent="0.3">
      <c r="A83" s="10">
        <v>82</v>
      </c>
      <c r="B83" s="11">
        <v>1</v>
      </c>
      <c r="C83" s="11">
        <v>3</v>
      </c>
      <c r="D83" s="11" t="s">
        <v>172</v>
      </c>
      <c r="E83" s="11" t="s">
        <v>11</v>
      </c>
      <c r="F83" s="11">
        <v>29</v>
      </c>
      <c r="G83" s="11">
        <v>0</v>
      </c>
      <c r="H83" s="11">
        <v>0</v>
      </c>
      <c r="I83" s="11" t="s">
        <v>173</v>
      </c>
      <c r="J83" s="12">
        <v>9.5</v>
      </c>
    </row>
    <row r="84" spans="1:10" x14ac:dyDescent="0.3">
      <c r="A84" s="7">
        <v>83</v>
      </c>
      <c r="B84" s="8">
        <v>1</v>
      </c>
      <c r="C84" s="8">
        <v>3</v>
      </c>
      <c r="D84" s="8" t="s">
        <v>174</v>
      </c>
      <c r="E84" s="8" t="s">
        <v>14</v>
      </c>
      <c r="F84" s="8"/>
      <c r="G84" s="8">
        <v>0</v>
      </c>
      <c r="H84" s="8">
        <v>0</v>
      </c>
      <c r="I84" s="8" t="s">
        <v>175</v>
      </c>
      <c r="J84" s="9">
        <v>7.7874999999999996</v>
      </c>
    </row>
    <row r="85" spans="1:10" x14ac:dyDescent="0.3">
      <c r="A85" s="10">
        <v>84</v>
      </c>
      <c r="B85" s="11">
        <v>0</v>
      </c>
      <c r="C85" s="11">
        <v>1</v>
      </c>
      <c r="D85" s="11" t="s">
        <v>176</v>
      </c>
      <c r="E85" s="11" t="s">
        <v>11</v>
      </c>
      <c r="F85" s="11">
        <v>28</v>
      </c>
      <c r="G85" s="11">
        <v>0</v>
      </c>
      <c r="H85" s="11">
        <v>0</v>
      </c>
      <c r="I85" s="11" t="s">
        <v>177</v>
      </c>
      <c r="J85" s="12">
        <v>47.1</v>
      </c>
    </row>
    <row r="86" spans="1:10" x14ac:dyDescent="0.3">
      <c r="A86" s="7">
        <v>85</v>
      </c>
      <c r="B86" s="8">
        <v>1</v>
      </c>
      <c r="C86" s="8">
        <v>2</v>
      </c>
      <c r="D86" s="8" t="s">
        <v>178</v>
      </c>
      <c r="E86" s="8" t="s">
        <v>14</v>
      </c>
      <c r="F86" s="8">
        <v>17</v>
      </c>
      <c r="G86" s="8">
        <v>0</v>
      </c>
      <c r="H86" s="8">
        <v>0</v>
      </c>
      <c r="I86" s="8" t="s">
        <v>179</v>
      </c>
      <c r="J86" s="9">
        <v>10.5</v>
      </c>
    </row>
    <row r="87" spans="1:10" x14ac:dyDescent="0.3">
      <c r="A87" s="10">
        <v>86</v>
      </c>
      <c r="B87" s="11">
        <v>1</v>
      </c>
      <c r="C87" s="11">
        <v>3</v>
      </c>
      <c r="D87" s="11" t="s">
        <v>180</v>
      </c>
      <c r="E87" s="11" t="s">
        <v>14</v>
      </c>
      <c r="F87" s="11">
        <v>33</v>
      </c>
      <c r="G87" s="11">
        <v>3</v>
      </c>
      <c r="H87" s="11">
        <v>0</v>
      </c>
      <c r="I87" s="11" t="s">
        <v>181</v>
      </c>
      <c r="J87" s="12">
        <v>15.85</v>
      </c>
    </row>
    <row r="88" spans="1:10" x14ac:dyDescent="0.3">
      <c r="A88" s="7">
        <v>87</v>
      </c>
      <c r="B88" s="8">
        <v>0</v>
      </c>
      <c r="C88" s="8">
        <v>3</v>
      </c>
      <c r="D88" s="8" t="s">
        <v>182</v>
      </c>
      <c r="E88" s="8" t="s">
        <v>11</v>
      </c>
      <c r="F88" s="8">
        <v>16</v>
      </c>
      <c r="G88" s="8">
        <v>1</v>
      </c>
      <c r="H88" s="8">
        <v>3</v>
      </c>
      <c r="I88" s="8" t="s">
        <v>183</v>
      </c>
      <c r="J88" s="9">
        <v>34.375</v>
      </c>
    </row>
    <row r="89" spans="1:10" x14ac:dyDescent="0.3">
      <c r="A89" s="10">
        <v>88</v>
      </c>
      <c r="B89" s="11">
        <v>0</v>
      </c>
      <c r="C89" s="11">
        <v>3</v>
      </c>
      <c r="D89" s="11" t="s">
        <v>184</v>
      </c>
      <c r="E89" s="11" t="s">
        <v>11</v>
      </c>
      <c r="F89" s="11"/>
      <c r="G89" s="11">
        <v>0</v>
      </c>
      <c r="H89" s="11">
        <v>0</v>
      </c>
      <c r="I89" s="11" t="s">
        <v>185</v>
      </c>
      <c r="J89" s="12">
        <v>8.0500000000000007</v>
      </c>
    </row>
    <row r="90" spans="1:10" x14ac:dyDescent="0.3">
      <c r="A90" s="7">
        <v>89</v>
      </c>
      <c r="B90" s="8">
        <v>1</v>
      </c>
      <c r="C90" s="8">
        <v>1</v>
      </c>
      <c r="D90" s="8" t="s">
        <v>186</v>
      </c>
      <c r="E90" s="8" t="s">
        <v>14</v>
      </c>
      <c r="F90" s="8">
        <v>23</v>
      </c>
      <c r="G90" s="8">
        <v>3</v>
      </c>
      <c r="H90" s="8">
        <v>2</v>
      </c>
      <c r="I90" s="8" t="s">
        <v>66</v>
      </c>
      <c r="J90" s="9">
        <v>263</v>
      </c>
    </row>
    <row r="91" spans="1:10" x14ac:dyDescent="0.3">
      <c r="A91" s="10">
        <v>90</v>
      </c>
      <c r="B91" s="11">
        <v>0</v>
      </c>
      <c r="C91" s="11">
        <v>3</v>
      </c>
      <c r="D91" s="11" t="s">
        <v>187</v>
      </c>
      <c r="E91" s="11" t="s">
        <v>11</v>
      </c>
      <c r="F91" s="11">
        <v>24</v>
      </c>
      <c r="G91" s="11">
        <v>0</v>
      </c>
      <c r="H91" s="11">
        <v>0</v>
      </c>
      <c r="I91" s="11" t="s">
        <v>188</v>
      </c>
      <c r="J91" s="12">
        <v>8.0500000000000007</v>
      </c>
    </row>
    <row r="92" spans="1:10" x14ac:dyDescent="0.3">
      <c r="A92" s="7">
        <v>91</v>
      </c>
      <c r="B92" s="8">
        <v>0</v>
      </c>
      <c r="C92" s="8">
        <v>3</v>
      </c>
      <c r="D92" s="8" t="s">
        <v>189</v>
      </c>
      <c r="E92" s="8" t="s">
        <v>11</v>
      </c>
      <c r="F92" s="8">
        <v>29</v>
      </c>
      <c r="G92" s="8">
        <v>0</v>
      </c>
      <c r="H92" s="8">
        <v>0</v>
      </c>
      <c r="I92" s="8" t="s">
        <v>190</v>
      </c>
      <c r="J92" s="9">
        <v>8.0500000000000007</v>
      </c>
    </row>
    <row r="93" spans="1:10" x14ac:dyDescent="0.3">
      <c r="A93" s="10">
        <v>92</v>
      </c>
      <c r="B93" s="11">
        <v>0</v>
      </c>
      <c r="C93" s="11">
        <v>3</v>
      </c>
      <c r="D93" s="11" t="s">
        <v>191</v>
      </c>
      <c r="E93" s="11" t="s">
        <v>11</v>
      </c>
      <c r="F93" s="11">
        <v>20</v>
      </c>
      <c r="G93" s="11">
        <v>0</v>
      </c>
      <c r="H93" s="11">
        <v>0</v>
      </c>
      <c r="I93" s="11" t="s">
        <v>192</v>
      </c>
      <c r="J93" s="12">
        <v>7.8541999999999996</v>
      </c>
    </row>
    <row r="94" spans="1:10" x14ac:dyDescent="0.3">
      <c r="A94" s="7">
        <v>93</v>
      </c>
      <c r="B94" s="8">
        <v>0</v>
      </c>
      <c r="C94" s="8">
        <v>1</v>
      </c>
      <c r="D94" s="8" t="s">
        <v>193</v>
      </c>
      <c r="E94" s="8" t="s">
        <v>11</v>
      </c>
      <c r="F94" s="8">
        <v>46</v>
      </c>
      <c r="G94" s="8">
        <v>1</v>
      </c>
      <c r="H94" s="8">
        <v>0</v>
      </c>
      <c r="I94" s="8" t="s">
        <v>194</v>
      </c>
      <c r="J94" s="9">
        <v>61.174999999999997</v>
      </c>
    </row>
    <row r="95" spans="1:10" x14ac:dyDescent="0.3">
      <c r="A95" s="10">
        <v>94</v>
      </c>
      <c r="B95" s="11">
        <v>0</v>
      </c>
      <c r="C95" s="11">
        <v>3</v>
      </c>
      <c r="D95" s="11" t="s">
        <v>195</v>
      </c>
      <c r="E95" s="11" t="s">
        <v>11</v>
      </c>
      <c r="F95" s="11">
        <v>26</v>
      </c>
      <c r="G95" s="11">
        <v>1</v>
      </c>
      <c r="H95" s="11">
        <v>2</v>
      </c>
      <c r="I95" s="11" t="s">
        <v>196</v>
      </c>
      <c r="J95" s="12">
        <v>20.574999999999999</v>
      </c>
    </row>
    <row r="96" spans="1:10" x14ac:dyDescent="0.3">
      <c r="A96" s="7">
        <v>95</v>
      </c>
      <c r="B96" s="8">
        <v>0</v>
      </c>
      <c r="C96" s="8">
        <v>3</v>
      </c>
      <c r="D96" s="8" t="s">
        <v>197</v>
      </c>
      <c r="E96" s="8" t="s">
        <v>11</v>
      </c>
      <c r="F96" s="8">
        <v>59</v>
      </c>
      <c r="G96" s="8">
        <v>0</v>
      </c>
      <c r="H96" s="8">
        <v>0</v>
      </c>
      <c r="I96" s="8" t="s">
        <v>198</v>
      </c>
      <c r="J96" s="9">
        <v>7.25</v>
      </c>
    </row>
    <row r="97" spans="1:10" x14ac:dyDescent="0.3">
      <c r="A97" s="10">
        <v>96</v>
      </c>
      <c r="B97" s="11">
        <v>0</v>
      </c>
      <c r="C97" s="11">
        <v>3</v>
      </c>
      <c r="D97" s="11" t="s">
        <v>199</v>
      </c>
      <c r="E97" s="11" t="s">
        <v>11</v>
      </c>
      <c r="F97" s="11"/>
      <c r="G97" s="11">
        <v>0</v>
      </c>
      <c r="H97" s="11">
        <v>0</v>
      </c>
      <c r="I97" s="11" t="s">
        <v>200</v>
      </c>
      <c r="J97" s="12">
        <v>8.0500000000000007</v>
      </c>
    </row>
    <row r="98" spans="1:10" x14ac:dyDescent="0.3">
      <c r="A98" s="7">
        <v>97</v>
      </c>
      <c r="B98" s="8">
        <v>0</v>
      </c>
      <c r="C98" s="8">
        <v>1</v>
      </c>
      <c r="D98" s="8" t="s">
        <v>201</v>
      </c>
      <c r="E98" s="8" t="s">
        <v>11</v>
      </c>
      <c r="F98" s="8">
        <v>71</v>
      </c>
      <c r="G98" s="8">
        <v>0</v>
      </c>
      <c r="H98" s="8">
        <v>0</v>
      </c>
      <c r="I98" s="8" t="s">
        <v>202</v>
      </c>
      <c r="J98" s="9">
        <v>34.654200000000003</v>
      </c>
    </row>
    <row r="99" spans="1:10" x14ac:dyDescent="0.3">
      <c r="A99" s="10">
        <v>98</v>
      </c>
      <c r="B99" s="11">
        <v>1</v>
      </c>
      <c r="C99" s="11">
        <v>1</v>
      </c>
      <c r="D99" s="11" t="s">
        <v>203</v>
      </c>
      <c r="E99" s="11" t="s">
        <v>11</v>
      </c>
      <c r="F99" s="11">
        <v>23</v>
      </c>
      <c r="G99" s="11">
        <v>0</v>
      </c>
      <c r="H99" s="11">
        <v>1</v>
      </c>
      <c r="I99" s="11" t="s">
        <v>204</v>
      </c>
      <c r="J99" s="12">
        <v>63.3583</v>
      </c>
    </row>
    <row r="100" spans="1:10" x14ac:dyDescent="0.3">
      <c r="A100" s="7">
        <v>99</v>
      </c>
      <c r="B100" s="8">
        <v>1</v>
      </c>
      <c r="C100" s="8">
        <v>2</v>
      </c>
      <c r="D100" s="8" t="s">
        <v>205</v>
      </c>
      <c r="E100" s="8" t="s">
        <v>14</v>
      </c>
      <c r="F100" s="8">
        <v>34</v>
      </c>
      <c r="G100" s="8">
        <v>0</v>
      </c>
      <c r="H100" s="8">
        <v>1</v>
      </c>
      <c r="I100" s="8" t="s">
        <v>206</v>
      </c>
      <c r="J100" s="9">
        <v>23</v>
      </c>
    </row>
    <row r="101" spans="1:10" x14ac:dyDescent="0.3">
      <c r="A101" s="10">
        <v>100</v>
      </c>
      <c r="B101" s="11">
        <v>0</v>
      </c>
      <c r="C101" s="11">
        <v>2</v>
      </c>
      <c r="D101" s="11" t="s">
        <v>207</v>
      </c>
      <c r="E101" s="11" t="s">
        <v>11</v>
      </c>
      <c r="F101" s="11">
        <v>34</v>
      </c>
      <c r="G101" s="11">
        <v>1</v>
      </c>
      <c r="H101" s="11">
        <v>0</v>
      </c>
      <c r="I101" s="11" t="s">
        <v>208</v>
      </c>
      <c r="J101" s="12">
        <v>26</v>
      </c>
    </row>
    <row r="102" spans="1:10" x14ac:dyDescent="0.3">
      <c r="A102" s="7">
        <v>101</v>
      </c>
      <c r="B102" s="8">
        <v>0</v>
      </c>
      <c r="C102" s="8">
        <v>3</v>
      </c>
      <c r="D102" s="8" t="s">
        <v>209</v>
      </c>
      <c r="E102" s="8" t="s">
        <v>14</v>
      </c>
      <c r="F102" s="8">
        <v>28</v>
      </c>
      <c r="G102" s="8">
        <v>0</v>
      </c>
      <c r="H102" s="8">
        <v>0</v>
      </c>
      <c r="I102" s="8" t="s">
        <v>210</v>
      </c>
      <c r="J102" s="9">
        <v>7.8958000000000004</v>
      </c>
    </row>
    <row r="103" spans="1:10" x14ac:dyDescent="0.3">
      <c r="A103" s="10">
        <v>102</v>
      </c>
      <c r="B103" s="11">
        <v>0</v>
      </c>
      <c r="C103" s="11">
        <v>3</v>
      </c>
      <c r="D103" s="11" t="s">
        <v>211</v>
      </c>
      <c r="E103" s="11" t="s">
        <v>11</v>
      </c>
      <c r="F103" s="11"/>
      <c r="G103" s="11">
        <v>0</v>
      </c>
      <c r="H103" s="11">
        <v>0</v>
      </c>
      <c r="I103" s="11" t="s">
        <v>212</v>
      </c>
      <c r="J103" s="12">
        <v>7.8958000000000004</v>
      </c>
    </row>
    <row r="104" spans="1:10" x14ac:dyDescent="0.3">
      <c r="A104" s="7">
        <v>103</v>
      </c>
      <c r="B104" s="8">
        <v>0</v>
      </c>
      <c r="C104" s="8">
        <v>1</v>
      </c>
      <c r="D104" s="8" t="s">
        <v>213</v>
      </c>
      <c r="E104" s="8" t="s">
        <v>11</v>
      </c>
      <c r="F104" s="8">
        <v>21</v>
      </c>
      <c r="G104" s="8">
        <v>0</v>
      </c>
      <c r="H104" s="8">
        <v>1</v>
      </c>
      <c r="I104" s="8" t="s">
        <v>214</v>
      </c>
      <c r="J104" s="9">
        <v>77.287499999999994</v>
      </c>
    </row>
    <row r="105" spans="1:10" x14ac:dyDescent="0.3">
      <c r="A105" s="10">
        <v>104</v>
      </c>
      <c r="B105" s="11">
        <v>0</v>
      </c>
      <c r="C105" s="11">
        <v>3</v>
      </c>
      <c r="D105" s="11" t="s">
        <v>215</v>
      </c>
      <c r="E105" s="11" t="s">
        <v>11</v>
      </c>
      <c r="F105" s="11">
        <v>33</v>
      </c>
      <c r="G105" s="11">
        <v>0</v>
      </c>
      <c r="H105" s="11">
        <v>0</v>
      </c>
      <c r="I105" s="11" t="s">
        <v>216</v>
      </c>
      <c r="J105" s="12">
        <v>8.6541999999999994</v>
      </c>
    </row>
    <row r="106" spans="1:10" x14ac:dyDescent="0.3">
      <c r="A106" s="7">
        <v>105</v>
      </c>
      <c r="B106" s="8">
        <v>0</v>
      </c>
      <c r="C106" s="8">
        <v>3</v>
      </c>
      <c r="D106" s="8" t="s">
        <v>217</v>
      </c>
      <c r="E106" s="8" t="s">
        <v>11</v>
      </c>
      <c r="F106" s="8">
        <v>37</v>
      </c>
      <c r="G106" s="8">
        <v>2</v>
      </c>
      <c r="H106" s="8">
        <v>0</v>
      </c>
      <c r="I106" s="8" t="s">
        <v>218</v>
      </c>
      <c r="J106" s="9">
        <v>7.9249999999999998</v>
      </c>
    </row>
    <row r="107" spans="1:10" x14ac:dyDescent="0.3">
      <c r="A107" s="10">
        <v>106</v>
      </c>
      <c r="B107" s="11">
        <v>0</v>
      </c>
      <c r="C107" s="11">
        <v>3</v>
      </c>
      <c r="D107" s="11" t="s">
        <v>219</v>
      </c>
      <c r="E107" s="11" t="s">
        <v>11</v>
      </c>
      <c r="F107" s="11">
        <v>28</v>
      </c>
      <c r="G107" s="11">
        <v>0</v>
      </c>
      <c r="H107" s="11">
        <v>0</v>
      </c>
      <c r="I107" s="11" t="s">
        <v>220</v>
      </c>
      <c r="J107" s="12">
        <v>7.8958000000000004</v>
      </c>
    </row>
    <row r="108" spans="1:10" x14ac:dyDescent="0.3">
      <c r="A108" s="7">
        <v>107</v>
      </c>
      <c r="B108" s="8">
        <v>1</v>
      </c>
      <c r="C108" s="8">
        <v>3</v>
      </c>
      <c r="D108" s="8" t="s">
        <v>221</v>
      </c>
      <c r="E108" s="8" t="s">
        <v>14</v>
      </c>
      <c r="F108" s="8">
        <v>21</v>
      </c>
      <c r="G108" s="8">
        <v>0</v>
      </c>
      <c r="H108" s="8">
        <v>0</v>
      </c>
      <c r="I108" s="8" t="s">
        <v>222</v>
      </c>
      <c r="J108" s="9">
        <v>7.65</v>
      </c>
    </row>
    <row r="109" spans="1:10" x14ac:dyDescent="0.3">
      <c r="A109" s="10">
        <v>108</v>
      </c>
      <c r="B109" s="11">
        <v>1</v>
      </c>
      <c r="C109" s="11">
        <v>3</v>
      </c>
      <c r="D109" s="11" t="s">
        <v>223</v>
      </c>
      <c r="E109" s="11" t="s">
        <v>11</v>
      </c>
      <c r="F109" s="11"/>
      <c r="G109" s="11">
        <v>0</v>
      </c>
      <c r="H109" s="11">
        <v>0</v>
      </c>
      <c r="I109" s="11" t="s">
        <v>224</v>
      </c>
      <c r="J109" s="12">
        <v>7.7750000000000004</v>
      </c>
    </row>
    <row r="110" spans="1:10" x14ac:dyDescent="0.3">
      <c r="A110" s="7">
        <v>109</v>
      </c>
      <c r="B110" s="8">
        <v>0</v>
      </c>
      <c r="C110" s="8">
        <v>3</v>
      </c>
      <c r="D110" s="8" t="s">
        <v>225</v>
      </c>
      <c r="E110" s="8" t="s">
        <v>11</v>
      </c>
      <c r="F110" s="8">
        <v>38</v>
      </c>
      <c r="G110" s="8">
        <v>0</v>
      </c>
      <c r="H110" s="8">
        <v>0</v>
      </c>
      <c r="I110" s="8" t="s">
        <v>226</v>
      </c>
      <c r="J110" s="9">
        <v>7.8958000000000004</v>
      </c>
    </row>
    <row r="111" spans="1:10" x14ac:dyDescent="0.3">
      <c r="A111" s="10">
        <v>110</v>
      </c>
      <c r="B111" s="11">
        <v>1</v>
      </c>
      <c r="C111" s="11">
        <v>3</v>
      </c>
      <c r="D111" s="11" t="s">
        <v>227</v>
      </c>
      <c r="E111" s="11" t="s">
        <v>14</v>
      </c>
      <c r="F111" s="11"/>
      <c r="G111" s="11">
        <v>1</v>
      </c>
      <c r="H111" s="11">
        <v>0</v>
      </c>
      <c r="I111" s="11" t="s">
        <v>228</v>
      </c>
      <c r="J111" s="12">
        <v>24.15</v>
      </c>
    </row>
    <row r="112" spans="1:10" x14ac:dyDescent="0.3">
      <c r="A112" s="7">
        <v>111</v>
      </c>
      <c r="B112" s="8">
        <v>0</v>
      </c>
      <c r="C112" s="8">
        <v>1</v>
      </c>
      <c r="D112" s="8" t="s">
        <v>229</v>
      </c>
      <c r="E112" s="8" t="s">
        <v>11</v>
      </c>
      <c r="F112" s="8">
        <v>47</v>
      </c>
      <c r="G112" s="8">
        <v>0</v>
      </c>
      <c r="H112" s="8">
        <v>0</v>
      </c>
      <c r="I112" s="8" t="s">
        <v>230</v>
      </c>
      <c r="J112" s="9">
        <v>52</v>
      </c>
    </row>
    <row r="113" spans="1:10" x14ac:dyDescent="0.3">
      <c r="A113" s="10">
        <v>112</v>
      </c>
      <c r="B113" s="11">
        <v>0</v>
      </c>
      <c r="C113" s="11">
        <v>3</v>
      </c>
      <c r="D113" s="11" t="s">
        <v>231</v>
      </c>
      <c r="E113" s="11" t="s">
        <v>14</v>
      </c>
      <c r="F113" s="11">
        <v>14.5</v>
      </c>
      <c r="G113" s="11">
        <v>1</v>
      </c>
      <c r="H113" s="11">
        <v>0</v>
      </c>
      <c r="I113" s="11" t="s">
        <v>232</v>
      </c>
      <c r="J113" s="12">
        <v>14.4542</v>
      </c>
    </row>
    <row r="114" spans="1:10" x14ac:dyDescent="0.3">
      <c r="A114" s="7">
        <v>113</v>
      </c>
      <c r="B114" s="8">
        <v>0</v>
      </c>
      <c r="C114" s="8">
        <v>3</v>
      </c>
      <c r="D114" s="8" t="s">
        <v>233</v>
      </c>
      <c r="E114" s="8" t="s">
        <v>11</v>
      </c>
      <c r="F114" s="8">
        <v>22</v>
      </c>
      <c r="G114" s="8">
        <v>0</v>
      </c>
      <c r="H114" s="8">
        <v>0</v>
      </c>
      <c r="I114" s="8" t="s">
        <v>234</v>
      </c>
      <c r="J114" s="9">
        <v>8.0500000000000007</v>
      </c>
    </row>
    <row r="115" spans="1:10" x14ac:dyDescent="0.3">
      <c r="A115" s="10">
        <v>114</v>
      </c>
      <c r="B115" s="11">
        <v>0</v>
      </c>
      <c r="C115" s="11">
        <v>3</v>
      </c>
      <c r="D115" s="11" t="s">
        <v>235</v>
      </c>
      <c r="E115" s="11" t="s">
        <v>14</v>
      </c>
      <c r="F115" s="11">
        <v>20</v>
      </c>
      <c r="G115" s="11">
        <v>1</v>
      </c>
      <c r="H115" s="11">
        <v>0</v>
      </c>
      <c r="I115" s="11" t="s">
        <v>236</v>
      </c>
      <c r="J115" s="12">
        <v>9.8249999999999993</v>
      </c>
    </row>
    <row r="116" spans="1:10" x14ac:dyDescent="0.3">
      <c r="A116" s="7">
        <v>115</v>
      </c>
      <c r="B116" s="8">
        <v>0</v>
      </c>
      <c r="C116" s="8">
        <v>3</v>
      </c>
      <c r="D116" s="8" t="s">
        <v>237</v>
      </c>
      <c r="E116" s="8" t="s">
        <v>14</v>
      </c>
      <c r="F116" s="8">
        <v>17</v>
      </c>
      <c r="G116" s="8">
        <v>0</v>
      </c>
      <c r="H116" s="8">
        <v>0</v>
      </c>
      <c r="I116" s="8" t="s">
        <v>238</v>
      </c>
      <c r="J116" s="9">
        <v>14.458299999999999</v>
      </c>
    </row>
    <row r="117" spans="1:10" x14ac:dyDescent="0.3">
      <c r="A117" s="10">
        <v>116</v>
      </c>
      <c r="B117" s="11">
        <v>0</v>
      </c>
      <c r="C117" s="11">
        <v>3</v>
      </c>
      <c r="D117" s="11" t="s">
        <v>239</v>
      </c>
      <c r="E117" s="11" t="s">
        <v>11</v>
      </c>
      <c r="F117" s="11">
        <v>21</v>
      </c>
      <c r="G117" s="11">
        <v>0</v>
      </c>
      <c r="H117" s="11">
        <v>0</v>
      </c>
      <c r="I117" s="11" t="s">
        <v>240</v>
      </c>
      <c r="J117" s="12">
        <v>7.9249999999999998</v>
      </c>
    </row>
    <row r="118" spans="1:10" x14ac:dyDescent="0.3">
      <c r="A118" s="7">
        <v>117</v>
      </c>
      <c r="B118" s="8">
        <v>0</v>
      </c>
      <c r="C118" s="8">
        <v>3</v>
      </c>
      <c r="D118" s="8" t="s">
        <v>241</v>
      </c>
      <c r="E118" s="8" t="s">
        <v>11</v>
      </c>
      <c r="F118" s="8">
        <v>70.5</v>
      </c>
      <c r="G118" s="8">
        <v>0</v>
      </c>
      <c r="H118" s="8">
        <v>0</v>
      </c>
      <c r="I118" s="8" t="s">
        <v>242</v>
      </c>
      <c r="J118" s="9">
        <v>7.75</v>
      </c>
    </row>
    <row r="119" spans="1:10" x14ac:dyDescent="0.3">
      <c r="A119" s="10">
        <v>118</v>
      </c>
      <c r="B119" s="11">
        <v>0</v>
      </c>
      <c r="C119" s="11">
        <v>2</v>
      </c>
      <c r="D119" s="11" t="s">
        <v>243</v>
      </c>
      <c r="E119" s="11" t="s">
        <v>11</v>
      </c>
      <c r="F119" s="11">
        <v>29</v>
      </c>
      <c r="G119" s="11">
        <v>1</v>
      </c>
      <c r="H119" s="11">
        <v>0</v>
      </c>
      <c r="I119" s="11" t="s">
        <v>94</v>
      </c>
      <c r="J119" s="12">
        <v>21</v>
      </c>
    </row>
    <row r="120" spans="1:10" x14ac:dyDescent="0.3">
      <c r="A120" s="7">
        <v>119</v>
      </c>
      <c r="B120" s="8">
        <v>0</v>
      </c>
      <c r="C120" s="8">
        <v>1</v>
      </c>
      <c r="D120" s="8" t="s">
        <v>244</v>
      </c>
      <c r="E120" s="8" t="s">
        <v>11</v>
      </c>
      <c r="F120" s="8">
        <v>24</v>
      </c>
      <c r="G120" s="8">
        <v>0</v>
      </c>
      <c r="H120" s="8">
        <v>1</v>
      </c>
      <c r="I120" s="8" t="s">
        <v>245</v>
      </c>
      <c r="J120" s="9">
        <v>247.52080000000001</v>
      </c>
    </row>
    <row r="121" spans="1:10" x14ac:dyDescent="0.3">
      <c r="A121" s="10">
        <v>120</v>
      </c>
      <c r="B121" s="11">
        <v>0</v>
      </c>
      <c r="C121" s="11">
        <v>3</v>
      </c>
      <c r="D121" s="11" t="s">
        <v>246</v>
      </c>
      <c r="E121" s="11" t="s">
        <v>14</v>
      </c>
      <c r="F121" s="11">
        <v>2</v>
      </c>
      <c r="G121" s="11">
        <v>4</v>
      </c>
      <c r="H121" s="11">
        <v>2</v>
      </c>
      <c r="I121" s="11" t="s">
        <v>39</v>
      </c>
      <c r="J121" s="12">
        <v>31.274999999999999</v>
      </c>
    </row>
    <row r="122" spans="1:10" x14ac:dyDescent="0.3">
      <c r="A122" s="7">
        <v>121</v>
      </c>
      <c r="B122" s="8">
        <v>0</v>
      </c>
      <c r="C122" s="8">
        <v>2</v>
      </c>
      <c r="D122" s="8" t="s">
        <v>247</v>
      </c>
      <c r="E122" s="8" t="s">
        <v>11</v>
      </c>
      <c r="F122" s="8">
        <v>21</v>
      </c>
      <c r="G122" s="8">
        <v>2</v>
      </c>
      <c r="H122" s="8">
        <v>0</v>
      </c>
      <c r="I122" s="8" t="s">
        <v>155</v>
      </c>
      <c r="J122" s="9">
        <v>73.5</v>
      </c>
    </row>
    <row r="123" spans="1:10" x14ac:dyDescent="0.3">
      <c r="A123" s="10">
        <v>122</v>
      </c>
      <c r="B123" s="11">
        <v>0</v>
      </c>
      <c r="C123" s="11">
        <v>3</v>
      </c>
      <c r="D123" s="11" t="s">
        <v>248</v>
      </c>
      <c r="E123" s="11" t="s">
        <v>11</v>
      </c>
      <c r="F123" s="11"/>
      <c r="G123" s="11">
        <v>0</v>
      </c>
      <c r="H123" s="11">
        <v>0</v>
      </c>
      <c r="I123" s="11" t="s">
        <v>249</v>
      </c>
      <c r="J123" s="12">
        <v>8.0500000000000007</v>
      </c>
    </row>
    <row r="124" spans="1:10" x14ac:dyDescent="0.3">
      <c r="A124" s="7">
        <v>123</v>
      </c>
      <c r="B124" s="8">
        <v>0</v>
      </c>
      <c r="C124" s="8">
        <v>2</v>
      </c>
      <c r="D124" s="8" t="s">
        <v>250</v>
      </c>
      <c r="E124" s="8" t="s">
        <v>11</v>
      </c>
      <c r="F124" s="8">
        <v>32.5</v>
      </c>
      <c r="G124" s="8">
        <v>1</v>
      </c>
      <c r="H124" s="8">
        <v>0</v>
      </c>
      <c r="I124" s="8" t="s">
        <v>31</v>
      </c>
      <c r="J124" s="9">
        <v>30.070799999999998</v>
      </c>
    </row>
    <row r="125" spans="1:10" x14ac:dyDescent="0.3">
      <c r="A125" s="10">
        <v>124</v>
      </c>
      <c r="B125" s="11">
        <v>1</v>
      </c>
      <c r="C125" s="11">
        <v>2</v>
      </c>
      <c r="D125" s="11" t="s">
        <v>251</v>
      </c>
      <c r="E125" s="11" t="s">
        <v>14</v>
      </c>
      <c r="F125" s="11">
        <v>32.5</v>
      </c>
      <c r="G125" s="11">
        <v>0</v>
      </c>
      <c r="H125" s="11">
        <v>0</v>
      </c>
      <c r="I125" s="11" t="s">
        <v>252</v>
      </c>
      <c r="J125" s="12">
        <v>13</v>
      </c>
    </row>
    <row r="126" spans="1:10" x14ac:dyDescent="0.3">
      <c r="A126" s="7">
        <v>125</v>
      </c>
      <c r="B126" s="8">
        <v>0</v>
      </c>
      <c r="C126" s="8">
        <v>1</v>
      </c>
      <c r="D126" s="8" t="s">
        <v>253</v>
      </c>
      <c r="E126" s="8" t="s">
        <v>11</v>
      </c>
      <c r="F126" s="8">
        <v>54</v>
      </c>
      <c r="G126" s="8">
        <v>0</v>
      </c>
      <c r="H126" s="8">
        <v>1</v>
      </c>
      <c r="I126" s="8" t="s">
        <v>214</v>
      </c>
      <c r="J126" s="9">
        <v>77.287499999999994</v>
      </c>
    </row>
    <row r="127" spans="1:10" x14ac:dyDescent="0.3">
      <c r="A127" s="10">
        <v>126</v>
      </c>
      <c r="B127" s="11">
        <v>1</v>
      </c>
      <c r="C127" s="11">
        <v>3</v>
      </c>
      <c r="D127" s="11" t="s">
        <v>254</v>
      </c>
      <c r="E127" s="11" t="s">
        <v>11</v>
      </c>
      <c r="F127" s="11">
        <v>12</v>
      </c>
      <c r="G127" s="11">
        <v>1</v>
      </c>
      <c r="H127" s="11">
        <v>0</v>
      </c>
      <c r="I127" s="11" t="s">
        <v>90</v>
      </c>
      <c r="J127" s="12">
        <v>11.2417</v>
      </c>
    </row>
    <row r="128" spans="1:10" x14ac:dyDescent="0.3">
      <c r="A128" s="7">
        <v>127</v>
      </c>
      <c r="B128" s="8">
        <v>0</v>
      </c>
      <c r="C128" s="8">
        <v>3</v>
      </c>
      <c r="D128" s="8" t="s">
        <v>255</v>
      </c>
      <c r="E128" s="8" t="s">
        <v>11</v>
      </c>
      <c r="F128" s="8"/>
      <c r="G128" s="8">
        <v>0</v>
      </c>
      <c r="H128" s="8">
        <v>0</v>
      </c>
      <c r="I128" s="8" t="s">
        <v>256</v>
      </c>
      <c r="J128" s="9">
        <v>7.75</v>
      </c>
    </row>
    <row r="129" spans="1:10" x14ac:dyDescent="0.3">
      <c r="A129" s="10">
        <v>128</v>
      </c>
      <c r="B129" s="11">
        <v>1</v>
      </c>
      <c r="C129" s="11">
        <v>3</v>
      </c>
      <c r="D129" s="11" t="s">
        <v>257</v>
      </c>
      <c r="E129" s="11" t="s">
        <v>11</v>
      </c>
      <c r="F129" s="11">
        <v>24</v>
      </c>
      <c r="G129" s="11">
        <v>0</v>
      </c>
      <c r="H129" s="11">
        <v>0</v>
      </c>
      <c r="I129" s="11" t="s">
        <v>258</v>
      </c>
      <c r="J129" s="12">
        <v>7.1417000000000002</v>
      </c>
    </row>
    <row r="130" spans="1:10" x14ac:dyDescent="0.3">
      <c r="A130" s="7">
        <v>129</v>
      </c>
      <c r="B130" s="8">
        <v>1</v>
      </c>
      <c r="C130" s="8">
        <v>3</v>
      </c>
      <c r="D130" s="8" t="s">
        <v>259</v>
      </c>
      <c r="E130" s="8" t="s">
        <v>14</v>
      </c>
      <c r="F130" s="8"/>
      <c r="G130" s="8">
        <v>1</v>
      </c>
      <c r="H130" s="8">
        <v>1</v>
      </c>
      <c r="I130" s="8" t="s">
        <v>260</v>
      </c>
      <c r="J130" s="9">
        <v>22.3583</v>
      </c>
    </row>
    <row r="131" spans="1:10" x14ac:dyDescent="0.3">
      <c r="A131" s="10">
        <v>130</v>
      </c>
      <c r="B131" s="11">
        <v>0</v>
      </c>
      <c r="C131" s="11">
        <v>3</v>
      </c>
      <c r="D131" s="11" t="s">
        <v>261</v>
      </c>
      <c r="E131" s="11" t="s">
        <v>11</v>
      </c>
      <c r="F131" s="11">
        <v>45</v>
      </c>
      <c r="G131" s="11">
        <v>0</v>
      </c>
      <c r="H131" s="11">
        <v>0</v>
      </c>
      <c r="I131" s="11" t="s">
        <v>262</v>
      </c>
      <c r="J131" s="12">
        <v>6.9749999999999996</v>
      </c>
    </row>
    <row r="132" spans="1:10" x14ac:dyDescent="0.3">
      <c r="A132" s="7">
        <v>131</v>
      </c>
      <c r="B132" s="8">
        <v>0</v>
      </c>
      <c r="C132" s="8">
        <v>3</v>
      </c>
      <c r="D132" s="8" t="s">
        <v>263</v>
      </c>
      <c r="E132" s="8" t="s">
        <v>11</v>
      </c>
      <c r="F132" s="8">
        <v>33</v>
      </c>
      <c r="G132" s="8">
        <v>0</v>
      </c>
      <c r="H132" s="8">
        <v>0</v>
      </c>
      <c r="I132" s="8" t="s">
        <v>264</v>
      </c>
      <c r="J132" s="9">
        <v>7.8958000000000004</v>
      </c>
    </row>
    <row r="133" spans="1:10" x14ac:dyDescent="0.3">
      <c r="A133" s="10">
        <v>132</v>
      </c>
      <c r="B133" s="11">
        <v>0</v>
      </c>
      <c r="C133" s="11">
        <v>3</v>
      </c>
      <c r="D133" s="11" t="s">
        <v>265</v>
      </c>
      <c r="E133" s="11" t="s">
        <v>11</v>
      </c>
      <c r="F133" s="11">
        <v>20</v>
      </c>
      <c r="G133" s="11">
        <v>0</v>
      </c>
      <c r="H133" s="11">
        <v>0</v>
      </c>
      <c r="I133" s="11" t="s">
        <v>266</v>
      </c>
      <c r="J133" s="12">
        <v>7.05</v>
      </c>
    </row>
    <row r="134" spans="1:10" x14ac:dyDescent="0.3">
      <c r="A134" s="7">
        <v>133</v>
      </c>
      <c r="B134" s="8">
        <v>0</v>
      </c>
      <c r="C134" s="8">
        <v>3</v>
      </c>
      <c r="D134" s="8" t="s">
        <v>267</v>
      </c>
      <c r="E134" s="8" t="s">
        <v>14</v>
      </c>
      <c r="F134" s="8">
        <v>47</v>
      </c>
      <c r="G134" s="8">
        <v>1</v>
      </c>
      <c r="H134" s="8">
        <v>0</v>
      </c>
      <c r="I134" s="8" t="s">
        <v>268</v>
      </c>
      <c r="J134" s="9">
        <v>14.5</v>
      </c>
    </row>
    <row r="135" spans="1:10" x14ac:dyDescent="0.3">
      <c r="A135" s="10">
        <v>134</v>
      </c>
      <c r="B135" s="11">
        <v>1</v>
      </c>
      <c r="C135" s="11">
        <v>2</v>
      </c>
      <c r="D135" s="11" t="s">
        <v>269</v>
      </c>
      <c r="E135" s="11" t="s">
        <v>14</v>
      </c>
      <c r="F135" s="11">
        <v>29</v>
      </c>
      <c r="G135" s="11">
        <v>1</v>
      </c>
      <c r="H135" s="11">
        <v>0</v>
      </c>
      <c r="I135" s="11" t="s">
        <v>270</v>
      </c>
      <c r="J135" s="12">
        <v>26</v>
      </c>
    </row>
    <row r="136" spans="1:10" x14ac:dyDescent="0.3">
      <c r="A136" s="7">
        <v>135</v>
      </c>
      <c r="B136" s="8">
        <v>0</v>
      </c>
      <c r="C136" s="8">
        <v>2</v>
      </c>
      <c r="D136" s="8" t="s">
        <v>271</v>
      </c>
      <c r="E136" s="8" t="s">
        <v>11</v>
      </c>
      <c r="F136" s="8">
        <v>25</v>
      </c>
      <c r="G136" s="8">
        <v>0</v>
      </c>
      <c r="H136" s="8">
        <v>0</v>
      </c>
      <c r="I136" s="8" t="s">
        <v>272</v>
      </c>
      <c r="J136" s="9">
        <v>13</v>
      </c>
    </row>
    <row r="137" spans="1:10" x14ac:dyDescent="0.3">
      <c r="A137" s="10">
        <v>136</v>
      </c>
      <c r="B137" s="11">
        <v>0</v>
      </c>
      <c r="C137" s="11">
        <v>2</v>
      </c>
      <c r="D137" s="11" t="s">
        <v>273</v>
      </c>
      <c r="E137" s="11" t="s">
        <v>11</v>
      </c>
      <c r="F137" s="11">
        <v>23</v>
      </c>
      <c r="G137" s="11">
        <v>0</v>
      </c>
      <c r="H137" s="11">
        <v>0</v>
      </c>
      <c r="I137" s="11" t="s">
        <v>274</v>
      </c>
      <c r="J137" s="12">
        <v>15.0458</v>
      </c>
    </row>
    <row r="138" spans="1:10" x14ac:dyDescent="0.3">
      <c r="A138" s="7">
        <v>137</v>
      </c>
      <c r="B138" s="8">
        <v>1</v>
      </c>
      <c r="C138" s="8">
        <v>1</v>
      </c>
      <c r="D138" s="8" t="s">
        <v>275</v>
      </c>
      <c r="E138" s="8" t="s">
        <v>14</v>
      </c>
      <c r="F138" s="8">
        <v>19</v>
      </c>
      <c r="G138" s="8">
        <v>0</v>
      </c>
      <c r="H138" s="8">
        <v>2</v>
      </c>
      <c r="I138" s="8" t="s">
        <v>276</v>
      </c>
      <c r="J138" s="9">
        <v>26.283300000000001</v>
      </c>
    </row>
    <row r="139" spans="1:10" x14ac:dyDescent="0.3">
      <c r="A139" s="10">
        <v>138</v>
      </c>
      <c r="B139" s="11">
        <v>0</v>
      </c>
      <c r="C139" s="11">
        <v>1</v>
      </c>
      <c r="D139" s="11" t="s">
        <v>277</v>
      </c>
      <c r="E139" s="11" t="s">
        <v>11</v>
      </c>
      <c r="F139" s="11">
        <v>37</v>
      </c>
      <c r="G139" s="11">
        <v>1</v>
      </c>
      <c r="H139" s="11">
        <v>0</v>
      </c>
      <c r="I139" s="11" t="s">
        <v>19</v>
      </c>
      <c r="J139" s="12">
        <v>53.1</v>
      </c>
    </row>
    <row r="140" spans="1:10" x14ac:dyDescent="0.3">
      <c r="A140" s="7">
        <v>139</v>
      </c>
      <c r="B140" s="8">
        <v>0</v>
      </c>
      <c r="C140" s="8">
        <v>3</v>
      </c>
      <c r="D140" s="8" t="s">
        <v>278</v>
      </c>
      <c r="E140" s="8" t="s">
        <v>11</v>
      </c>
      <c r="F140" s="8">
        <v>16</v>
      </c>
      <c r="G140" s="8">
        <v>0</v>
      </c>
      <c r="H140" s="8">
        <v>0</v>
      </c>
      <c r="I140" s="8" t="s">
        <v>279</v>
      </c>
      <c r="J140" s="9">
        <v>9.2166999999999994</v>
      </c>
    </row>
    <row r="141" spans="1:10" x14ac:dyDescent="0.3">
      <c r="A141" s="10">
        <v>140</v>
      </c>
      <c r="B141" s="11">
        <v>0</v>
      </c>
      <c r="C141" s="11">
        <v>1</v>
      </c>
      <c r="D141" s="11" t="s">
        <v>280</v>
      </c>
      <c r="E141" s="11" t="s">
        <v>11</v>
      </c>
      <c r="F141" s="11">
        <v>24</v>
      </c>
      <c r="G141" s="11">
        <v>0</v>
      </c>
      <c r="H141" s="11">
        <v>0</v>
      </c>
      <c r="I141" s="11" t="s">
        <v>281</v>
      </c>
      <c r="J141" s="12">
        <v>79.2</v>
      </c>
    </row>
    <row r="142" spans="1:10" x14ac:dyDescent="0.3">
      <c r="A142" s="7">
        <v>141</v>
      </c>
      <c r="B142" s="8">
        <v>0</v>
      </c>
      <c r="C142" s="8">
        <v>3</v>
      </c>
      <c r="D142" s="8" t="s">
        <v>282</v>
      </c>
      <c r="E142" s="8" t="s">
        <v>14</v>
      </c>
      <c r="F142" s="8"/>
      <c r="G142" s="8">
        <v>0</v>
      </c>
      <c r="H142" s="8">
        <v>2</v>
      </c>
      <c r="I142" s="8" t="s">
        <v>283</v>
      </c>
      <c r="J142" s="9">
        <v>15.245799999999999</v>
      </c>
    </row>
    <row r="143" spans="1:10" x14ac:dyDescent="0.3">
      <c r="A143" s="10">
        <v>142</v>
      </c>
      <c r="B143" s="11">
        <v>1</v>
      </c>
      <c r="C143" s="11">
        <v>3</v>
      </c>
      <c r="D143" s="11" t="s">
        <v>284</v>
      </c>
      <c r="E143" s="11" t="s">
        <v>14</v>
      </c>
      <c r="F143" s="11">
        <v>22</v>
      </c>
      <c r="G143" s="11">
        <v>0</v>
      </c>
      <c r="H143" s="11">
        <v>0</v>
      </c>
      <c r="I143" s="11" t="s">
        <v>285</v>
      </c>
      <c r="J143" s="12">
        <v>7.75</v>
      </c>
    </row>
    <row r="144" spans="1:10" x14ac:dyDescent="0.3">
      <c r="A144" s="7">
        <v>143</v>
      </c>
      <c r="B144" s="8">
        <v>1</v>
      </c>
      <c r="C144" s="8">
        <v>3</v>
      </c>
      <c r="D144" s="8" t="s">
        <v>286</v>
      </c>
      <c r="E144" s="8" t="s">
        <v>14</v>
      </c>
      <c r="F144" s="8">
        <v>24</v>
      </c>
      <c r="G144" s="8">
        <v>1</v>
      </c>
      <c r="H144" s="8">
        <v>0</v>
      </c>
      <c r="I144" s="8" t="s">
        <v>287</v>
      </c>
      <c r="J144" s="9">
        <v>15.85</v>
      </c>
    </row>
    <row r="145" spans="1:10" x14ac:dyDescent="0.3">
      <c r="A145" s="10">
        <v>144</v>
      </c>
      <c r="B145" s="11">
        <v>0</v>
      </c>
      <c r="C145" s="11">
        <v>3</v>
      </c>
      <c r="D145" s="11" t="s">
        <v>288</v>
      </c>
      <c r="E145" s="11" t="s">
        <v>11</v>
      </c>
      <c r="F145" s="11">
        <v>19</v>
      </c>
      <c r="G145" s="11">
        <v>0</v>
      </c>
      <c r="H145" s="11">
        <v>0</v>
      </c>
      <c r="I145" s="11" t="s">
        <v>289</v>
      </c>
      <c r="J145" s="12">
        <v>6.75</v>
      </c>
    </row>
    <row r="146" spans="1:10" x14ac:dyDescent="0.3">
      <c r="A146" s="7">
        <v>145</v>
      </c>
      <c r="B146" s="8">
        <v>0</v>
      </c>
      <c r="C146" s="8">
        <v>2</v>
      </c>
      <c r="D146" s="8" t="s">
        <v>290</v>
      </c>
      <c r="E146" s="8" t="s">
        <v>11</v>
      </c>
      <c r="F146" s="8">
        <v>18</v>
      </c>
      <c r="G146" s="8">
        <v>0</v>
      </c>
      <c r="H146" s="8">
        <v>0</v>
      </c>
      <c r="I146" s="8" t="s">
        <v>291</v>
      </c>
      <c r="J146" s="9">
        <v>11.5</v>
      </c>
    </row>
    <row r="147" spans="1:10" x14ac:dyDescent="0.3">
      <c r="A147" s="10">
        <v>146</v>
      </c>
      <c r="B147" s="11">
        <v>0</v>
      </c>
      <c r="C147" s="11">
        <v>2</v>
      </c>
      <c r="D147" s="11" t="s">
        <v>292</v>
      </c>
      <c r="E147" s="11" t="s">
        <v>11</v>
      </c>
      <c r="F147" s="11">
        <v>19</v>
      </c>
      <c r="G147" s="11">
        <v>1</v>
      </c>
      <c r="H147" s="11">
        <v>1</v>
      </c>
      <c r="I147" s="11" t="s">
        <v>293</v>
      </c>
      <c r="J147" s="12">
        <v>36.75</v>
      </c>
    </row>
    <row r="148" spans="1:10" x14ac:dyDescent="0.3">
      <c r="A148" s="7">
        <v>147</v>
      </c>
      <c r="B148" s="8">
        <v>1</v>
      </c>
      <c r="C148" s="8">
        <v>3</v>
      </c>
      <c r="D148" s="8" t="s">
        <v>294</v>
      </c>
      <c r="E148" s="8" t="s">
        <v>11</v>
      </c>
      <c r="F148" s="8">
        <v>27</v>
      </c>
      <c r="G148" s="8">
        <v>0</v>
      </c>
      <c r="H148" s="8">
        <v>0</v>
      </c>
      <c r="I148" s="8" t="s">
        <v>295</v>
      </c>
      <c r="J148" s="9">
        <v>7.7957999999999998</v>
      </c>
    </row>
    <row r="149" spans="1:10" x14ac:dyDescent="0.3">
      <c r="A149" s="10">
        <v>148</v>
      </c>
      <c r="B149" s="11">
        <v>0</v>
      </c>
      <c r="C149" s="11">
        <v>3</v>
      </c>
      <c r="D149" s="11" t="s">
        <v>296</v>
      </c>
      <c r="E149" s="11" t="s">
        <v>14</v>
      </c>
      <c r="F149" s="11">
        <v>9</v>
      </c>
      <c r="G149" s="11">
        <v>2</v>
      </c>
      <c r="H149" s="11">
        <v>2</v>
      </c>
      <c r="I149" s="11" t="s">
        <v>183</v>
      </c>
      <c r="J149" s="12">
        <v>34.375</v>
      </c>
    </row>
    <row r="150" spans="1:10" x14ac:dyDescent="0.3">
      <c r="A150" s="7">
        <v>149</v>
      </c>
      <c r="B150" s="8">
        <v>0</v>
      </c>
      <c r="C150" s="8">
        <v>2</v>
      </c>
      <c r="D150" s="8" t="s">
        <v>297</v>
      </c>
      <c r="E150" s="8" t="s">
        <v>11</v>
      </c>
      <c r="F150" s="8">
        <v>36.5</v>
      </c>
      <c r="G150" s="8">
        <v>0</v>
      </c>
      <c r="H150" s="8">
        <v>2</v>
      </c>
      <c r="I150" s="8" t="s">
        <v>298</v>
      </c>
      <c r="J150" s="9">
        <v>26</v>
      </c>
    </row>
    <row r="151" spans="1:10" x14ac:dyDescent="0.3">
      <c r="A151" s="10">
        <v>150</v>
      </c>
      <c r="B151" s="11">
        <v>0</v>
      </c>
      <c r="C151" s="11">
        <v>2</v>
      </c>
      <c r="D151" s="11" t="s">
        <v>299</v>
      </c>
      <c r="E151" s="11" t="s">
        <v>11</v>
      </c>
      <c r="F151" s="11">
        <v>42</v>
      </c>
      <c r="G151" s="11">
        <v>0</v>
      </c>
      <c r="H151" s="11">
        <v>0</v>
      </c>
      <c r="I151" s="11" t="s">
        <v>300</v>
      </c>
      <c r="J151" s="12">
        <v>13</v>
      </c>
    </row>
    <row r="152" spans="1:10" x14ac:dyDescent="0.3">
      <c r="A152" s="7">
        <v>151</v>
      </c>
      <c r="B152" s="8">
        <v>0</v>
      </c>
      <c r="C152" s="8">
        <v>2</v>
      </c>
      <c r="D152" s="8" t="s">
        <v>301</v>
      </c>
      <c r="E152" s="8" t="s">
        <v>11</v>
      </c>
      <c r="F152" s="8">
        <v>51</v>
      </c>
      <c r="G152" s="8">
        <v>0</v>
      </c>
      <c r="H152" s="8">
        <v>0</v>
      </c>
      <c r="I152" s="8" t="s">
        <v>302</v>
      </c>
      <c r="J152" s="9">
        <v>12.525</v>
      </c>
    </row>
    <row r="153" spans="1:10" x14ac:dyDescent="0.3">
      <c r="A153" s="10">
        <v>152</v>
      </c>
      <c r="B153" s="11">
        <v>1</v>
      </c>
      <c r="C153" s="11">
        <v>1</v>
      </c>
      <c r="D153" s="11" t="s">
        <v>303</v>
      </c>
      <c r="E153" s="11" t="s">
        <v>14</v>
      </c>
      <c r="F153" s="11">
        <v>22</v>
      </c>
      <c r="G153" s="11">
        <v>1</v>
      </c>
      <c r="H153" s="11">
        <v>0</v>
      </c>
      <c r="I153" s="11" t="s">
        <v>304</v>
      </c>
      <c r="J153" s="12">
        <v>66.599999999999994</v>
      </c>
    </row>
    <row r="154" spans="1:10" x14ac:dyDescent="0.3">
      <c r="A154" s="7">
        <v>153</v>
      </c>
      <c r="B154" s="8">
        <v>0</v>
      </c>
      <c r="C154" s="8">
        <v>3</v>
      </c>
      <c r="D154" s="8" t="s">
        <v>305</v>
      </c>
      <c r="E154" s="8" t="s">
        <v>11</v>
      </c>
      <c r="F154" s="8">
        <v>55.5</v>
      </c>
      <c r="G154" s="8">
        <v>0</v>
      </c>
      <c r="H154" s="8">
        <v>0</v>
      </c>
      <c r="I154" s="8" t="s">
        <v>306</v>
      </c>
      <c r="J154" s="9">
        <v>8.0500000000000007</v>
      </c>
    </row>
    <row r="155" spans="1:10" x14ac:dyDescent="0.3">
      <c r="A155" s="10">
        <v>154</v>
      </c>
      <c r="B155" s="11">
        <v>0</v>
      </c>
      <c r="C155" s="11">
        <v>3</v>
      </c>
      <c r="D155" s="11" t="s">
        <v>307</v>
      </c>
      <c r="E155" s="11" t="s">
        <v>11</v>
      </c>
      <c r="F155" s="11">
        <v>40.5</v>
      </c>
      <c r="G155" s="11">
        <v>0</v>
      </c>
      <c r="H155" s="11">
        <v>2</v>
      </c>
      <c r="I155" s="11" t="s">
        <v>308</v>
      </c>
      <c r="J155" s="12">
        <v>14.5</v>
      </c>
    </row>
    <row r="156" spans="1:10" x14ac:dyDescent="0.3">
      <c r="A156" s="7">
        <v>155</v>
      </c>
      <c r="B156" s="8">
        <v>0</v>
      </c>
      <c r="C156" s="8">
        <v>3</v>
      </c>
      <c r="D156" s="8" t="s">
        <v>309</v>
      </c>
      <c r="E156" s="8" t="s">
        <v>11</v>
      </c>
      <c r="F156" s="8"/>
      <c r="G156" s="8">
        <v>0</v>
      </c>
      <c r="H156" s="8">
        <v>0</v>
      </c>
      <c r="I156" s="8" t="s">
        <v>310</v>
      </c>
      <c r="J156" s="9">
        <v>7.3125</v>
      </c>
    </row>
    <row r="157" spans="1:10" x14ac:dyDescent="0.3">
      <c r="A157" s="10">
        <v>156</v>
      </c>
      <c r="B157" s="11">
        <v>0</v>
      </c>
      <c r="C157" s="11">
        <v>1</v>
      </c>
      <c r="D157" s="11" t="s">
        <v>311</v>
      </c>
      <c r="E157" s="11" t="s">
        <v>11</v>
      </c>
      <c r="F157" s="11">
        <v>51</v>
      </c>
      <c r="G157" s="11">
        <v>0</v>
      </c>
      <c r="H157" s="11">
        <v>1</v>
      </c>
      <c r="I157" s="11" t="s">
        <v>312</v>
      </c>
      <c r="J157" s="12">
        <v>61.379199999999997</v>
      </c>
    </row>
    <row r="158" spans="1:10" x14ac:dyDescent="0.3">
      <c r="A158" s="7">
        <v>157</v>
      </c>
      <c r="B158" s="8">
        <v>1</v>
      </c>
      <c r="C158" s="8">
        <v>3</v>
      </c>
      <c r="D158" s="8" t="s">
        <v>313</v>
      </c>
      <c r="E158" s="8" t="s">
        <v>14</v>
      </c>
      <c r="F158" s="8">
        <v>16</v>
      </c>
      <c r="G158" s="8">
        <v>0</v>
      </c>
      <c r="H158" s="8">
        <v>0</v>
      </c>
      <c r="I158" s="8" t="s">
        <v>314</v>
      </c>
      <c r="J158" s="9">
        <v>7.7332999999999998</v>
      </c>
    </row>
    <row r="159" spans="1:10" x14ac:dyDescent="0.3">
      <c r="A159" s="10">
        <v>158</v>
      </c>
      <c r="B159" s="11">
        <v>0</v>
      </c>
      <c r="C159" s="11">
        <v>3</v>
      </c>
      <c r="D159" s="11" t="s">
        <v>315</v>
      </c>
      <c r="E159" s="11" t="s">
        <v>11</v>
      </c>
      <c r="F159" s="11">
        <v>30</v>
      </c>
      <c r="G159" s="11">
        <v>0</v>
      </c>
      <c r="H159" s="11">
        <v>0</v>
      </c>
      <c r="I159" s="11" t="s">
        <v>316</v>
      </c>
      <c r="J159" s="12">
        <v>8.0500000000000007</v>
      </c>
    </row>
    <row r="160" spans="1:10" x14ac:dyDescent="0.3">
      <c r="A160" s="7">
        <v>159</v>
      </c>
      <c r="B160" s="8">
        <v>0</v>
      </c>
      <c r="C160" s="8">
        <v>3</v>
      </c>
      <c r="D160" s="8" t="s">
        <v>317</v>
      </c>
      <c r="E160" s="8" t="s">
        <v>11</v>
      </c>
      <c r="F160" s="8"/>
      <c r="G160" s="8">
        <v>0</v>
      </c>
      <c r="H160" s="8">
        <v>0</v>
      </c>
      <c r="I160" s="8" t="s">
        <v>318</v>
      </c>
      <c r="J160" s="9">
        <v>8.6624999999999996</v>
      </c>
    </row>
    <row r="161" spans="1:10" x14ac:dyDescent="0.3">
      <c r="A161" s="10">
        <v>160</v>
      </c>
      <c r="B161" s="11">
        <v>0</v>
      </c>
      <c r="C161" s="11">
        <v>3</v>
      </c>
      <c r="D161" s="11" t="s">
        <v>319</v>
      </c>
      <c r="E161" s="11" t="s">
        <v>11</v>
      </c>
      <c r="F161" s="11"/>
      <c r="G161" s="11">
        <v>8</v>
      </c>
      <c r="H161" s="11">
        <v>2</v>
      </c>
      <c r="I161" s="11" t="s">
        <v>320</v>
      </c>
      <c r="J161" s="12">
        <v>69.55</v>
      </c>
    </row>
    <row r="162" spans="1:10" x14ac:dyDescent="0.3">
      <c r="A162" s="7">
        <v>161</v>
      </c>
      <c r="B162" s="8">
        <v>0</v>
      </c>
      <c r="C162" s="8">
        <v>3</v>
      </c>
      <c r="D162" s="8" t="s">
        <v>321</v>
      </c>
      <c r="E162" s="8" t="s">
        <v>11</v>
      </c>
      <c r="F162" s="8">
        <v>44</v>
      </c>
      <c r="G162" s="8">
        <v>0</v>
      </c>
      <c r="H162" s="8">
        <v>1</v>
      </c>
      <c r="I162" s="8" t="s">
        <v>322</v>
      </c>
      <c r="J162" s="9">
        <v>16.100000000000001</v>
      </c>
    </row>
    <row r="163" spans="1:10" x14ac:dyDescent="0.3">
      <c r="A163" s="10">
        <v>162</v>
      </c>
      <c r="B163" s="11">
        <v>1</v>
      </c>
      <c r="C163" s="11">
        <v>2</v>
      </c>
      <c r="D163" s="11" t="s">
        <v>323</v>
      </c>
      <c r="E163" s="11" t="s">
        <v>14</v>
      </c>
      <c r="F163" s="11">
        <v>40</v>
      </c>
      <c r="G163" s="11">
        <v>0</v>
      </c>
      <c r="H163" s="11">
        <v>0</v>
      </c>
      <c r="I163" s="11" t="s">
        <v>324</v>
      </c>
      <c r="J163" s="12">
        <v>15.75</v>
      </c>
    </row>
    <row r="164" spans="1:10" x14ac:dyDescent="0.3">
      <c r="A164" s="7">
        <v>163</v>
      </c>
      <c r="B164" s="8">
        <v>0</v>
      </c>
      <c r="C164" s="8">
        <v>3</v>
      </c>
      <c r="D164" s="8" t="s">
        <v>325</v>
      </c>
      <c r="E164" s="8" t="s">
        <v>11</v>
      </c>
      <c r="F164" s="8">
        <v>26</v>
      </c>
      <c r="G164" s="8">
        <v>0</v>
      </c>
      <c r="H164" s="8">
        <v>0</v>
      </c>
      <c r="I164" s="8" t="s">
        <v>326</v>
      </c>
      <c r="J164" s="9">
        <v>7.7750000000000004</v>
      </c>
    </row>
    <row r="165" spans="1:10" x14ac:dyDescent="0.3">
      <c r="A165" s="10">
        <v>164</v>
      </c>
      <c r="B165" s="11">
        <v>0</v>
      </c>
      <c r="C165" s="11">
        <v>3</v>
      </c>
      <c r="D165" s="11" t="s">
        <v>327</v>
      </c>
      <c r="E165" s="11" t="s">
        <v>11</v>
      </c>
      <c r="F165" s="11">
        <v>17</v>
      </c>
      <c r="G165" s="11">
        <v>0</v>
      </c>
      <c r="H165" s="11">
        <v>0</v>
      </c>
      <c r="I165" s="11" t="s">
        <v>328</v>
      </c>
      <c r="J165" s="12">
        <v>8.6624999999999996</v>
      </c>
    </row>
    <row r="166" spans="1:10" x14ac:dyDescent="0.3">
      <c r="A166" s="7">
        <v>165</v>
      </c>
      <c r="B166" s="8">
        <v>0</v>
      </c>
      <c r="C166" s="8">
        <v>3</v>
      </c>
      <c r="D166" s="8" t="s">
        <v>329</v>
      </c>
      <c r="E166" s="8" t="s">
        <v>11</v>
      </c>
      <c r="F166" s="8">
        <v>1</v>
      </c>
      <c r="G166" s="8">
        <v>4</v>
      </c>
      <c r="H166" s="8">
        <v>1</v>
      </c>
      <c r="I166" s="8" t="s">
        <v>112</v>
      </c>
      <c r="J166" s="9">
        <v>39.6875</v>
      </c>
    </row>
    <row r="167" spans="1:10" x14ac:dyDescent="0.3">
      <c r="A167" s="10">
        <v>166</v>
      </c>
      <c r="B167" s="11">
        <v>1</v>
      </c>
      <c r="C167" s="11">
        <v>3</v>
      </c>
      <c r="D167" s="11" t="s">
        <v>330</v>
      </c>
      <c r="E167" s="11" t="s">
        <v>11</v>
      </c>
      <c r="F167" s="11">
        <v>9</v>
      </c>
      <c r="G167" s="11">
        <v>0</v>
      </c>
      <c r="H167" s="11">
        <v>2</v>
      </c>
      <c r="I167" s="11" t="s">
        <v>331</v>
      </c>
      <c r="J167" s="12">
        <v>20.524999999999999</v>
      </c>
    </row>
    <row r="168" spans="1:10" x14ac:dyDescent="0.3">
      <c r="A168" s="7">
        <v>167</v>
      </c>
      <c r="B168" s="8">
        <v>1</v>
      </c>
      <c r="C168" s="8">
        <v>1</v>
      </c>
      <c r="D168" s="8" t="s">
        <v>332</v>
      </c>
      <c r="E168" s="8" t="s">
        <v>14</v>
      </c>
      <c r="F168" s="8"/>
      <c r="G168" s="8">
        <v>0</v>
      </c>
      <c r="H168" s="8">
        <v>1</v>
      </c>
      <c r="I168" s="8" t="s">
        <v>333</v>
      </c>
      <c r="J168" s="9">
        <v>55</v>
      </c>
    </row>
    <row r="169" spans="1:10" x14ac:dyDescent="0.3">
      <c r="A169" s="10">
        <v>168</v>
      </c>
      <c r="B169" s="11">
        <v>0</v>
      </c>
      <c r="C169" s="11">
        <v>3</v>
      </c>
      <c r="D169" s="11" t="s">
        <v>334</v>
      </c>
      <c r="E169" s="11" t="s">
        <v>14</v>
      </c>
      <c r="F169" s="11">
        <v>45</v>
      </c>
      <c r="G169" s="11">
        <v>1</v>
      </c>
      <c r="H169" s="11">
        <v>4</v>
      </c>
      <c r="I169" s="11" t="s">
        <v>138</v>
      </c>
      <c r="J169" s="12">
        <v>27.9</v>
      </c>
    </row>
    <row r="170" spans="1:10" x14ac:dyDescent="0.3">
      <c r="A170" s="7">
        <v>169</v>
      </c>
      <c r="B170" s="8">
        <v>0</v>
      </c>
      <c r="C170" s="8">
        <v>1</v>
      </c>
      <c r="D170" s="8" t="s">
        <v>335</v>
      </c>
      <c r="E170" s="8" t="s">
        <v>11</v>
      </c>
      <c r="F170" s="8"/>
      <c r="G170" s="8">
        <v>0</v>
      </c>
      <c r="H170" s="8">
        <v>0</v>
      </c>
      <c r="I170" s="8" t="s">
        <v>336</v>
      </c>
      <c r="J170" s="9">
        <v>25.925000000000001</v>
      </c>
    </row>
    <row r="171" spans="1:10" x14ac:dyDescent="0.3">
      <c r="A171" s="10">
        <v>170</v>
      </c>
      <c r="B171" s="11">
        <v>0</v>
      </c>
      <c r="C171" s="11">
        <v>3</v>
      </c>
      <c r="D171" s="11" t="s">
        <v>337</v>
      </c>
      <c r="E171" s="11" t="s">
        <v>11</v>
      </c>
      <c r="F171" s="11">
        <v>28</v>
      </c>
      <c r="G171" s="11">
        <v>0</v>
      </c>
      <c r="H171" s="11">
        <v>0</v>
      </c>
      <c r="I171" s="11" t="s">
        <v>159</v>
      </c>
      <c r="J171" s="12">
        <v>56.495800000000003</v>
      </c>
    </row>
    <row r="172" spans="1:10" x14ac:dyDescent="0.3">
      <c r="A172" s="7">
        <v>171</v>
      </c>
      <c r="B172" s="8">
        <v>0</v>
      </c>
      <c r="C172" s="8">
        <v>1</v>
      </c>
      <c r="D172" s="8" t="s">
        <v>338</v>
      </c>
      <c r="E172" s="8" t="s">
        <v>11</v>
      </c>
      <c r="F172" s="8">
        <v>61</v>
      </c>
      <c r="G172" s="8">
        <v>0</v>
      </c>
      <c r="H172" s="8">
        <v>0</v>
      </c>
      <c r="I172" s="8" t="s">
        <v>339</v>
      </c>
      <c r="J172" s="9">
        <v>33.5</v>
      </c>
    </row>
    <row r="173" spans="1:10" x14ac:dyDescent="0.3">
      <c r="A173" s="10">
        <v>172</v>
      </c>
      <c r="B173" s="11">
        <v>0</v>
      </c>
      <c r="C173" s="11">
        <v>3</v>
      </c>
      <c r="D173" s="11" t="s">
        <v>340</v>
      </c>
      <c r="E173" s="11" t="s">
        <v>11</v>
      </c>
      <c r="F173" s="11">
        <v>4</v>
      </c>
      <c r="G173" s="11">
        <v>4</v>
      </c>
      <c r="H173" s="11">
        <v>1</v>
      </c>
      <c r="I173" s="11" t="s">
        <v>45</v>
      </c>
      <c r="J173" s="12">
        <v>29.125</v>
      </c>
    </row>
    <row r="174" spans="1:10" x14ac:dyDescent="0.3">
      <c r="A174" s="7">
        <v>173</v>
      </c>
      <c r="B174" s="8">
        <v>1</v>
      </c>
      <c r="C174" s="8">
        <v>3</v>
      </c>
      <c r="D174" s="8" t="s">
        <v>341</v>
      </c>
      <c r="E174" s="8" t="s">
        <v>14</v>
      </c>
      <c r="F174" s="8">
        <v>1</v>
      </c>
      <c r="G174" s="8">
        <v>1</v>
      </c>
      <c r="H174" s="8">
        <v>1</v>
      </c>
      <c r="I174" s="8" t="s">
        <v>29</v>
      </c>
      <c r="J174" s="9">
        <v>11.1333</v>
      </c>
    </row>
    <row r="175" spans="1:10" x14ac:dyDescent="0.3">
      <c r="A175" s="10">
        <v>174</v>
      </c>
      <c r="B175" s="11">
        <v>0</v>
      </c>
      <c r="C175" s="11">
        <v>3</v>
      </c>
      <c r="D175" s="11" t="s">
        <v>342</v>
      </c>
      <c r="E175" s="11" t="s">
        <v>11</v>
      </c>
      <c r="F175" s="11">
        <v>21</v>
      </c>
      <c r="G175" s="11">
        <v>0</v>
      </c>
      <c r="H175" s="11">
        <v>0</v>
      </c>
      <c r="I175" s="11" t="s">
        <v>343</v>
      </c>
      <c r="J175" s="12">
        <v>7.9249999999999998</v>
      </c>
    </row>
    <row r="176" spans="1:10" x14ac:dyDescent="0.3">
      <c r="A176" s="7">
        <v>175</v>
      </c>
      <c r="B176" s="8">
        <v>0</v>
      </c>
      <c r="C176" s="8">
        <v>1</v>
      </c>
      <c r="D176" s="8" t="s">
        <v>344</v>
      </c>
      <c r="E176" s="8" t="s">
        <v>11</v>
      </c>
      <c r="F176" s="8">
        <v>56</v>
      </c>
      <c r="G176" s="8">
        <v>0</v>
      </c>
      <c r="H176" s="8">
        <v>0</v>
      </c>
      <c r="I176" s="8" t="s">
        <v>345</v>
      </c>
      <c r="J176" s="9">
        <v>30.695799999999998</v>
      </c>
    </row>
    <row r="177" spans="1:10" x14ac:dyDescent="0.3">
      <c r="A177" s="10">
        <v>176</v>
      </c>
      <c r="B177" s="11">
        <v>0</v>
      </c>
      <c r="C177" s="11">
        <v>3</v>
      </c>
      <c r="D177" s="11" t="s">
        <v>346</v>
      </c>
      <c r="E177" s="11" t="s">
        <v>11</v>
      </c>
      <c r="F177" s="11">
        <v>18</v>
      </c>
      <c r="G177" s="11">
        <v>1</v>
      </c>
      <c r="H177" s="11">
        <v>1</v>
      </c>
      <c r="I177" s="11" t="s">
        <v>347</v>
      </c>
      <c r="J177" s="12">
        <v>7.8541999999999996</v>
      </c>
    </row>
    <row r="178" spans="1:10" x14ac:dyDescent="0.3">
      <c r="A178" s="7">
        <v>177</v>
      </c>
      <c r="B178" s="8">
        <v>0</v>
      </c>
      <c r="C178" s="8">
        <v>3</v>
      </c>
      <c r="D178" s="8" t="s">
        <v>348</v>
      </c>
      <c r="E178" s="8" t="s">
        <v>11</v>
      </c>
      <c r="F178" s="8"/>
      <c r="G178" s="8">
        <v>3</v>
      </c>
      <c r="H178" s="8">
        <v>1</v>
      </c>
      <c r="I178" s="8" t="s">
        <v>349</v>
      </c>
      <c r="J178" s="9">
        <v>25.466699999999999</v>
      </c>
    </row>
    <row r="179" spans="1:10" x14ac:dyDescent="0.3">
      <c r="A179" s="10">
        <v>178</v>
      </c>
      <c r="B179" s="11">
        <v>0</v>
      </c>
      <c r="C179" s="11">
        <v>1</v>
      </c>
      <c r="D179" s="11" t="s">
        <v>350</v>
      </c>
      <c r="E179" s="11" t="s">
        <v>14</v>
      </c>
      <c r="F179" s="11">
        <v>50</v>
      </c>
      <c r="G179" s="11">
        <v>0</v>
      </c>
      <c r="H179" s="11">
        <v>0</v>
      </c>
      <c r="I179" s="11" t="s">
        <v>351</v>
      </c>
      <c r="J179" s="12">
        <v>28.712499999999999</v>
      </c>
    </row>
    <row r="180" spans="1:10" x14ac:dyDescent="0.3">
      <c r="A180" s="7">
        <v>179</v>
      </c>
      <c r="B180" s="8">
        <v>0</v>
      </c>
      <c r="C180" s="8">
        <v>2</v>
      </c>
      <c r="D180" s="8" t="s">
        <v>352</v>
      </c>
      <c r="E180" s="8" t="s">
        <v>11</v>
      </c>
      <c r="F180" s="8">
        <v>30</v>
      </c>
      <c r="G180" s="8">
        <v>0</v>
      </c>
      <c r="H180" s="8">
        <v>0</v>
      </c>
      <c r="I180" s="8" t="s">
        <v>353</v>
      </c>
      <c r="J180" s="9">
        <v>13</v>
      </c>
    </row>
    <row r="181" spans="1:10" x14ac:dyDescent="0.3">
      <c r="A181" s="10">
        <v>180</v>
      </c>
      <c r="B181" s="11">
        <v>0</v>
      </c>
      <c r="C181" s="11">
        <v>3</v>
      </c>
      <c r="D181" s="11" t="s">
        <v>354</v>
      </c>
      <c r="E181" s="11" t="s">
        <v>11</v>
      </c>
      <c r="F181" s="11">
        <v>36</v>
      </c>
      <c r="G181" s="11">
        <v>0</v>
      </c>
      <c r="H181" s="11">
        <v>0</v>
      </c>
      <c r="I181" s="11" t="s">
        <v>355</v>
      </c>
      <c r="J181" s="12">
        <v>0</v>
      </c>
    </row>
    <row r="182" spans="1:10" x14ac:dyDescent="0.3">
      <c r="A182" s="7">
        <v>181</v>
      </c>
      <c r="B182" s="8">
        <v>0</v>
      </c>
      <c r="C182" s="8">
        <v>3</v>
      </c>
      <c r="D182" s="8" t="s">
        <v>356</v>
      </c>
      <c r="E182" s="8" t="s">
        <v>14</v>
      </c>
      <c r="F182" s="8"/>
      <c r="G182" s="8">
        <v>8</v>
      </c>
      <c r="H182" s="8">
        <v>2</v>
      </c>
      <c r="I182" s="8" t="s">
        <v>320</v>
      </c>
      <c r="J182" s="9">
        <v>69.55</v>
      </c>
    </row>
    <row r="183" spans="1:10" x14ac:dyDescent="0.3">
      <c r="A183" s="10">
        <v>182</v>
      </c>
      <c r="B183" s="11">
        <v>0</v>
      </c>
      <c r="C183" s="11">
        <v>2</v>
      </c>
      <c r="D183" s="11" t="s">
        <v>357</v>
      </c>
      <c r="E183" s="11" t="s">
        <v>11</v>
      </c>
      <c r="F183" s="11"/>
      <c r="G183" s="11">
        <v>0</v>
      </c>
      <c r="H183" s="11">
        <v>0</v>
      </c>
      <c r="I183" s="11" t="s">
        <v>358</v>
      </c>
      <c r="J183" s="12">
        <v>15.05</v>
      </c>
    </row>
    <row r="184" spans="1:10" x14ac:dyDescent="0.3">
      <c r="A184" s="7">
        <v>183</v>
      </c>
      <c r="B184" s="8">
        <v>0</v>
      </c>
      <c r="C184" s="8">
        <v>3</v>
      </c>
      <c r="D184" s="8" t="s">
        <v>359</v>
      </c>
      <c r="E184" s="8" t="s">
        <v>11</v>
      </c>
      <c r="F184" s="8">
        <v>9</v>
      </c>
      <c r="G184" s="8">
        <v>4</v>
      </c>
      <c r="H184" s="8">
        <v>2</v>
      </c>
      <c r="I184" s="8" t="s">
        <v>62</v>
      </c>
      <c r="J184" s="9">
        <v>31.387499999999999</v>
      </c>
    </row>
    <row r="185" spans="1:10" x14ac:dyDescent="0.3">
      <c r="A185" s="10">
        <v>184</v>
      </c>
      <c r="B185" s="11">
        <v>1</v>
      </c>
      <c r="C185" s="11">
        <v>2</v>
      </c>
      <c r="D185" s="11" t="s">
        <v>360</v>
      </c>
      <c r="E185" s="11" t="s">
        <v>11</v>
      </c>
      <c r="F185" s="11">
        <v>1</v>
      </c>
      <c r="G185" s="11">
        <v>2</v>
      </c>
      <c r="H185" s="11">
        <v>1</v>
      </c>
      <c r="I185" s="11" t="s">
        <v>361</v>
      </c>
      <c r="J185" s="12">
        <v>39</v>
      </c>
    </row>
    <row r="186" spans="1:10" x14ac:dyDescent="0.3">
      <c r="A186" s="7">
        <v>185</v>
      </c>
      <c r="B186" s="8">
        <v>1</v>
      </c>
      <c r="C186" s="8">
        <v>3</v>
      </c>
      <c r="D186" s="8" t="s">
        <v>362</v>
      </c>
      <c r="E186" s="8" t="s">
        <v>14</v>
      </c>
      <c r="F186" s="8">
        <v>4</v>
      </c>
      <c r="G186" s="8">
        <v>0</v>
      </c>
      <c r="H186" s="8">
        <v>2</v>
      </c>
      <c r="I186" s="8" t="s">
        <v>363</v>
      </c>
      <c r="J186" s="9">
        <v>22.024999999999999</v>
      </c>
    </row>
    <row r="187" spans="1:10" x14ac:dyDescent="0.3">
      <c r="A187" s="10">
        <v>186</v>
      </c>
      <c r="B187" s="11">
        <v>0</v>
      </c>
      <c r="C187" s="11">
        <v>1</v>
      </c>
      <c r="D187" s="11" t="s">
        <v>364</v>
      </c>
      <c r="E187" s="11" t="s">
        <v>11</v>
      </c>
      <c r="F187" s="11"/>
      <c r="G187" s="11">
        <v>0</v>
      </c>
      <c r="H187" s="11">
        <v>0</v>
      </c>
      <c r="I187" s="11" t="s">
        <v>365</v>
      </c>
      <c r="J187" s="12">
        <v>50</v>
      </c>
    </row>
    <row r="188" spans="1:10" x14ac:dyDescent="0.3">
      <c r="A188" s="7">
        <v>187</v>
      </c>
      <c r="B188" s="8">
        <v>1</v>
      </c>
      <c r="C188" s="8">
        <v>3</v>
      </c>
      <c r="D188" s="8" t="s">
        <v>366</v>
      </c>
      <c r="E188" s="8" t="s">
        <v>14</v>
      </c>
      <c r="F188" s="8"/>
      <c r="G188" s="8">
        <v>1</v>
      </c>
      <c r="H188" s="8">
        <v>0</v>
      </c>
      <c r="I188" s="8" t="s">
        <v>367</v>
      </c>
      <c r="J188" s="9">
        <v>15.5</v>
      </c>
    </row>
    <row r="189" spans="1:10" x14ac:dyDescent="0.3">
      <c r="A189" s="10">
        <v>188</v>
      </c>
      <c r="B189" s="11">
        <v>1</v>
      </c>
      <c r="C189" s="11">
        <v>1</v>
      </c>
      <c r="D189" s="11" t="s">
        <v>368</v>
      </c>
      <c r="E189" s="11" t="s">
        <v>11</v>
      </c>
      <c r="F189" s="11">
        <v>45</v>
      </c>
      <c r="G189" s="11">
        <v>0</v>
      </c>
      <c r="H189" s="11">
        <v>0</v>
      </c>
      <c r="I189" s="11" t="s">
        <v>369</v>
      </c>
      <c r="J189" s="12">
        <v>26.55</v>
      </c>
    </row>
    <row r="190" spans="1:10" x14ac:dyDescent="0.3">
      <c r="A190" s="7">
        <v>189</v>
      </c>
      <c r="B190" s="8">
        <v>0</v>
      </c>
      <c r="C190" s="8">
        <v>3</v>
      </c>
      <c r="D190" s="8" t="s">
        <v>370</v>
      </c>
      <c r="E190" s="8" t="s">
        <v>11</v>
      </c>
      <c r="F190" s="8">
        <v>40</v>
      </c>
      <c r="G190" s="8">
        <v>1</v>
      </c>
      <c r="H190" s="8">
        <v>1</v>
      </c>
      <c r="I190" s="8" t="s">
        <v>371</v>
      </c>
      <c r="J190" s="9">
        <v>15.5</v>
      </c>
    </row>
    <row r="191" spans="1:10" x14ac:dyDescent="0.3">
      <c r="A191" s="10">
        <v>190</v>
      </c>
      <c r="B191" s="11">
        <v>0</v>
      </c>
      <c r="C191" s="11">
        <v>3</v>
      </c>
      <c r="D191" s="11" t="s">
        <v>372</v>
      </c>
      <c r="E191" s="11" t="s">
        <v>11</v>
      </c>
      <c r="F191" s="11">
        <v>36</v>
      </c>
      <c r="G191" s="11">
        <v>0</v>
      </c>
      <c r="H191" s="11">
        <v>0</v>
      </c>
      <c r="I191" s="11" t="s">
        <v>373</v>
      </c>
      <c r="J191" s="12">
        <v>7.8958000000000004</v>
      </c>
    </row>
    <row r="192" spans="1:10" x14ac:dyDescent="0.3">
      <c r="A192" s="7">
        <v>191</v>
      </c>
      <c r="B192" s="8">
        <v>1</v>
      </c>
      <c r="C192" s="8">
        <v>2</v>
      </c>
      <c r="D192" s="8" t="s">
        <v>374</v>
      </c>
      <c r="E192" s="8" t="s">
        <v>14</v>
      </c>
      <c r="F192" s="8">
        <v>32</v>
      </c>
      <c r="G192" s="8">
        <v>0</v>
      </c>
      <c r="H192" s="8">
        <v>0</v>
      </c>
      <c r="I192" s="8" t="s">
        <v>375</v>
      </c>
      <c r="J192" s="9">
        <v>13</v>
      </c>
    </row>
    <row r="193" spans="1:10" x14ac:dyDescent="0.3">
      <c r="A193" s="10">
        <v>192</v>
      </c>
      <c r="B193" s="11">
        <v>0</v>
      </c>
      <c r="C193" s="11">
        <v>2</v>
      </c>
      <c r="D193" s="11" t="s">
        <v>376</v>
      </c>
      <c r="E193" s="11" t="s">
        <v>11</v>
      </c>
      <c r="F193" s="11">
        <v>19</v>
      </c>
      <c r="G193" s="11">
        <v>0</v>
      </c>
      <c r="H193" s="11">
        <v>0</v>
      </c>
      <c r="I193" s="11" t="s">
        <v>377</v>
      </c>
      <c r="J193" s="12">
        <v>13</v>
      </c>
    </row>
    <row r="194" spans="1:10" x14ac:dyDescent="0.3">
      <c r="A194" s="7">
        <v>193</v>
      </c>
      <c r="B194" s="8">
        <v>1</v>
      </c>
      <c r="C194" s="8">
        <v>3</v>
      </c>
      <c r="D194" s="8" t="s">
        <v>378</v>
      </c>
      <c r="E194" s="8" t="s">
        <v>14</v>
      </c>
      <c r="F194" s="8">
        <v>19</v>
      </c>
      <c r="G194" s="8">
        <v>1</v>
      </c>
      <c r="H194" s="8">
        <v>0</v>
      </c>
      <c r="I194" s="8" t="s">
        <v>379</v>
      </c>
      <c r="J194" s="9">
        <v>7.8541999999999996</v>
      </c>
    </row>
    <row r="195" spans="1:10" x14ac:dyDescent="0.3">
      <c r="A195" s="10">
        <v>194</v>
      </c>
      <c r="B195" s="11">
        <v>1</v>
      </c>
      <c r="C195" s="11">
        <v>2</v>
      </c>
      <c r="D195" s="11" t="s">
        <v>380</v>
      </c>
      <c r="E195" s="11" t="s">
        <v>11</v>
      </c>
      <c r="F195" s="11">
        <v>3</v>
      </c>
      <c r="G195" s="11">
        <v>1</v>
      </c>
      <c r="H195" s="11">
        <v>1</v>
      </c>
      <c r="I195" s="11" t="s">
        <v>298</v>
      </c>
      <c r="J195" s="12">
        <v>26</v>
      </c>
    </row>
    <row r="196" spans="1:10" x14ac:dyDescent="0.3">
      <c r="A196" s="7">
        <v>195</v>
      </c>
      <c r="B196" s="8">
        <v>1</v>
      </c>
      <c r="C196" s="8">
        <v>1</v>
      </c>
      <c r="D196" s="8" t="s">
        <v>381</v>
      </c>
      <c r="E196" s="8" t="s">
        <v>14</v>
      </c>
      <c r="F196" s="8">
        <v>44</v>
      </c>
      <c r="G196" s="8">
        <v>0</v>
      </c>
      <c r="H196" s="8">
        <v>0</v>
      </c>
      <c r="I196" s="8" t="s">
        <v>382</v>
      </c>
      <c r="J196" s="9">
        <v>27.720800000000001</v>
      </c>
    </row>
    <row r="197" spans="1:10" x14ac:dyDescent="0.3">
      <c r="A197" s="10">
        <v>196</v>
      </c>
      <c r="B197" s="11">
        <v>1</v>
      </c>
      <c r="C197" s="11">
        <v>1</v>
      </c>
      <c r="D197" s="11" t="s">
        <v>383</v>
      </c>
      <c r="E197" s="11" t="s">
        <v>14</v>
      </c>
      <c r="F197" s="11">
        <v>58</v>
      </c>
      <c r="G197" s="11">
        <v>0</v>
      </c>
      <c r="H197" s="11">
        <v>0</v>
      </c>
      <c r="I197" s="11" t="s">
        <v>74</v>
      </c>
      <c r="J197" s="12">
        <v>146.52080000000001</v>
      </c>
    </row>
    <row r="198" spans="1:10" x14ac:dyDescent="0.3">
      <c r="A198" s="7">
        <v>197</v>
      </c>
      <c r="B198" s="8">
        <v>0</v>
      </c>
      <c r="C198" s="8">
        <v>3</v>
      </c>
      <c r="D198" s="8" t="s">
        <v>384</v>
      </c>
      <c r="E198" s="8" t="s">
        <v>11</v>
      </c>
      <c r="F198" s="8"/>
      <c r="G198" s="8">
        <v>0</v>
      </c>
      <c r="H198" s="8">
        <v>0</v>
      </c>
      <c r="I198" s="8" t="s">
        <v>385</v>
      </c>
      <c r="J198" s="9">
        <v>7.75</v>
      </c>
    </row>
    <row r="199" spans="1:10" x14ac:dyDescent="0.3">
      <c r="A199" s="10">
        <v>198</v>
      </c>
      <c r="B199" s="11">
        <v>0</v>
      </c>
      <c r="C199" s="11">
        <v>3</v>
      </c>
      <c r="D199" s="11" t="s">
        <v>386</v>
      </c>
      <c r="E199" s="11" t="s">
        <v>11</v>
      </c>
      <c r="F199" s="11">
        <v>42</v>
      </c>
      <c r="G199" s="11">
        <v>0</v>
      </c>
      <c r="H199" s="11">
        <v>1</v>
      </c>
      <c r="I199" s="11" t="s">
        <v>387</v>
      </c>
      <c r="J199" s="12">
        <v>8.4041999999999994</v>
      </c>
    </row>
    <row r="200" spans="1:10" x14ac:dyDescent="0.3">
      <c r="A200" s="7">
        <v>199</v>
      </c>
      <c r="B200" s="8">
        <v>1</v>
      </c>
      <c r="C200" s="8">
        <v>3</v>
      </c>
      <c r="D200" s="8" t="s">
        <v>388</v>
      </c>
      <c r="E200" s="8" t="s">
        <v>14</v>
      </c>
      <c r="F200" s="8"/>
      <c r="G200" s="8">
        <v>0</v>
      </c>
      <c r="H200" s="8">
        <v>0</v>
      </c>
      <c r="I200" s="8" t="s">
        <v>389</v>
      </c>
      <c r="J200" s="9">
        <v>7.75</v>
      </c>
    </row>
    <row r="201" spans="1:10" x14ac:dyDescent="0.3">
      <c r="A201" s="10">
        <v>200</v>
      </c>
      <c r="B201" s="11">
        <v>0</v>
      </c>
      <c r="C201" s="11">
        <v>2</v>
      </c>
      <c r="D201" s="11" t="s">
        <v>390</v>
      </c>
      <c r="E201" s="11" t="s">
        <v>14</v>
      </c>
      <c r="F201" s="11">
        <v>24</v>
      </c>
      <c r="G201" s="11">
        <v>0</v>
      </c>
      <c r="H201" s="11">
        <v>0</v>
      </c>
      <c r="I201" s="11" t="s">
        <v>391</v>
      </c>
      <c r="J201" s="12">
        <v>13</v>
      </c>
    </row>
    <row r="202" spans="1:10" x14ac:dyDescent="0.3">
      <c r="A202" s="7">
        <v>201</v>
      </c>
      <c r="B202" s="8">
        <v>0</v>
      </c>
      <c r="C202" s="8">
        <v>3</v>
      </c>
      <c r="D202" s="8" t="s">
        <v>392</v>
      </c>
      <c r="E202" s="8" t="s">
        <v>11</v>
      </c>
      <c r="F202" s="8">
        <v>28</v>
      </c>
      <c r="G202" s="8">
        <v>0</v>
      </c>
      <c r="H202" s="8">
        <v>0</v>
      </c>
      <c r="I202" s="8" t="s">
        <v>393</v>
      </c>
      <c r="J202" s="9">
        <v>9.5</v>
      </c>
    </row>
    <row r="203" spans="1:10" x14ac:dyDescent="0.3">
      <c r="A203" s="10">
        <v>202</v>
      </c>
      <c r="B203" s="11">
        <v>0</v>
      </c>
      <c r="C203" s="11">
        <v>3</v>
      </c>
      <c r="D203" s="11" t="s">
        <v>394</v>
      </c>
      <c r="E203" s="11" t="s">
        <v>11</v>
      </c>
      <c r="F203" s="11"/>
      <c r="G203" s="11">
        <v>8</v>
      </c>
      <c r="H203" s="11">
        <v>2</v>
      </c>
      <c r="I203" s="11" t="s">
        <v>320</v>
      </c>
      <c r="J203" s="12">
        <v>69.55</v>
      </c>
    </row>
    <row r="204" spans="1:10" x14ac:dyDescent="0.3">
      <c r="A204" s="7">
        <v>203</v>
      </c>
      <c r="B204" s="8">
        <v>0</v>
      </c>
      <c r="C204" s="8">
        <v>3</v>
      </c>
      <c r="D204" s="8" t="s">
        <v>395</v>
      </c>
      <c r="E204" s="8" t="s">
        <v>11</v>
      </c>
      <c r="F204" s="8">
        <v>34</v>
      </c>
      <c r="G204" s="8">
        <v>0</v>
      </c>
      <c r="H204" s="8">
        <v>0</v>
      </c>
      <c r="I204" s="8" t="s">
        <v>396</v>
      </c>
      <c r="J204" s="9">
        <v>6.4958</v>
      </c>
    </row>
    <row r="205" spans="1:10" x14ac:dyDescent="0.3">
      <c r="A205" s="10">
        <v>204</v>
      </c>
      <c r="B205" s="11">
        <v>0</v>
      </c>
      <c r="C205" s="11">
        <v>3</v>
      </c>
      <c r="D205" s="11" t="s">
        <v>397</v>
      </c>
      <c r="E205" s="11" t="s">
        <v>11</v>
      </c>
      <c r="F205" s="11">
        <v>45.5</v>
      </c>
      <c r="G205" s="11">
        <v>0</v>
      </c>
      <c r="H205" s="11">
        <v>0</v>
      </c>
      <c r="I205" s="11" t="s">
        <v>398</v>
      </c>
      <c r="J205" s="12">
        <v>7.2249999999999996</v>
      </c>
    </row>
    <row r="206" spans="1:10" x14ac:dyDescent="0.3">
      <c r="A206" s="7">
        <v>205</v>
      </c>
      <c r="B206" s="8">
        <v>1</v>
      </c>
      <c r="C206" s="8">
        <v>3</v>
      </c>
      <c r="D206" s="8" t="s">
        <v>399</v>
      </c>
      <c r="E206" s="8" t="s">
        <v>11</v>
      </c>
      <c r="F206" s="8">
        <v>18</v>
      </c>
      <c r="G206" s="8">
        <v>0</v>
      </c>
      <c r="H206" s="8">
        <v>0</v>
      </c>
      <c r="I206" s="8" t="s">
        <v>400</v>
      </c>
      <c r="J206" s="9">
        <v>8.0500000000000007</v>
      </c>
    </row>
    <row r="207" spans="1:10" x14ac:dyDescent="0.3">
      <c r="A207" s="10">
        <v>206</v>
      </c>
      <c r="B207" s="11">
        <v>0</v>
      </c>
      <c r="C207" s="11">
        <v>3</v>
      </c>
      <c r="D207" s="11" t="s">
        <v>401</v>
      </c>
      <c r="E207" s="11" t="s">
        <v>14</v>
      </c>
      <c r="F207" s="11">
        <v>2</v>
      </c>
      <c r="G207" s="11">
        <v>0</v>
      </c>
      <c r="H207" s="11">
        <v>1</v>
      </c>
      <c r="I207" s="11" t="s">
        <v>402</v>
      </c>
      <c r="J207" s="12">
        <v>10.4625</v>
      </c>
    </row>
    <row r="208" spans="1:10" x14ac:dyDescent="0.3">
      <c r="A208" s="7">
        <v>207</v>
      </c>
      <c r="B208" s="8">
        <v>0</v>
      </c>
      <c r="C208" s="8">
        <v>3</v>
      </c>
      <c r="D208" s="8" t="s">
        <v>403</v>
      </c>
      <c r="E208" s="8" t="s">
        <v>11</v>
      </c>
      <c r="F208" s="8">
        <v>32</v>
      </c>
      <c r="G208" s="8">
        <v>1</v>
      </c>
      <c r="H208" s="8">
        <v>0</v>
      </c>
      <c r="I208" s="8" t="s">
        <v>181</v>
      </c>
      <c r="J208" s="9">
        <v>15.85</v>
      </c>
    </row>
    <row r="209" spans="1:10" x14ac:dyDescent="0.3">
      <c r="A209" s="10">
        <v>208</v>
      </c>
      <c r="B209" s="11">
        <v>1</v>
      </c>
      <c r="C209" s="11">
        <v>3</v>
      </c>
      <c r="D209" s="11" t="s">
        <v>404</v>
      </c>
      <c r="E209" s="11" t="s">
        <v>11</v>
      </c>
      <c r="F209" s="11">
        <v>26</v>
      </c>
      <c r="G209" s="11">
        <v>0</v>
      </c>
      <c r="H209" s="11">
        <v>0</v>
      </c>
      <c r="I209" s="11" t="s">
        <v>405</v>
      </c>
      <c r="J209" s="12">
        <v>18.787500000000001</v>
      </c>
    </row>
    <row r="210" spans="1:10" x14ac:dyDescent="0.3">
      <c r="A210" s="7">
        <v>209</v>
      </c>
      <c r="B210" s="8">
        <v>1</v>
      </c>
      <c r="C210" s="8">
        <v>3</v>
      </c>
      <c r="D210" s="8" t="s">
        <v>406</v>
      </c>
      <c r="E210" s="8" t="s">
        <v>14</v>
      </c>
      <c r="F210" s="8">
        <v>16</v>
      </c>
      <c r="G210" s="8">
        <v>0</v>
      </c>
      <c r="H210" s="8">
        <v>0</v>
      </c>
      <c r="I210" s="8" t="s">
        <v>407</v>
      </c>
      <c r="J210" s="9">
        <v>7.75</v>
      </c>
    </row>
    <row r="211" spans="1:10" x14ac:dyDescent="0.3">
      <c r="A211" s="10">
        <v>210</v>
      </c>
      <c r="B211" s="11">
        <v>1</v>
      </c>
      <c r="C211" s="11">
        <v>1</v>
      </c>
      <c r="D211" s="11" t="s">
        <v>408</v>
      </c>
      <c r="E211" s="11" t="s">
        <v>11</v>
      </c>
      <c r="F211" s="11">
        <v>40</v>
      </c>
      <c r="G211" s="11">
        <v>0</v>
      </c>
      <c r="H211" s="11">
        <v>0</v>
      </c>
      <c r="I211" s="11" t="s">
        <v>409</v>
      </c>
      <c r="J211" s="12">
        <v>31</v>
      </c>
    </row>
    <row r="212" spans="1:10" x14ac:dyDescent="0.3">
      <c r="A212" s="7">
        <v>211</v>
      </c>
      <c r="B212" s="8">
        <v>0</v>
      </c>
      <c r="C212" s="8">
        <v>3</v>
      </c>
      <c r="D212" s="8" t="s">
        <v>410</v>
      </c>
      <c r="E212" s="8" t="s">
        <v>11</v>
      </c>
      <c r="F212" s="8">
        <v>24</v>
      </c>
      <c r="G212" s="8">
        <v>0</v>
      </c>
      <c r="H212" s="8">
        <v>0</v>
      </c>
      <c r="I212" s="8" t="s">
        <v>411</v>
      </c>
      <c r="J212" s="9">
        <v>7.05</v>
      </c>
    </row>
    <row r="213" spans="1:10" x14ac:dyDescent="0.3">
      <c r="A213" s="10">
        <v>212</v>
      </c>
      <c r="B213" s="11">
        <v>1</v>
      </c>
      <c r="C213" s="11">
        <v>2</v>
      </c>
      <c r="D213" s="11" t="s">
        <v>412</v>
      </c>
      <c r="E213" s="11" t="s">
        <v>14</v>
      </c>
      <c r="F213" s="11">
        <v>35</v>
      </c>
      <c r="G213" s="11">
        <v>0</v>
      </c>
      <c r="H213" s="11">
        <v>0</v>
      </c>
      <c r="I213" s="11" t="s">
        <v>413</v>
      </c>
      <c r="J213" s="12">
        <v>21</v>
      </c>
    </row>
    <row r="214" spans="1:10" x14ac:dyDescent="0.3">
      <c r="A214" s="7">
        <v>213</v>
      </c>
      <c r="B214" s="8">
        <v>0</v>
      </c>
      <c r="C214" s="8">
        <v>3</v>
      </c>
      <c r="D214" s="8" t="s">
        <v>414</v>
      </c>
      <c r="E214" s="8" t="s">
        <v>11</v>
      </c>
      <c r="F214" s="8">
        <v>22</v>
      </c>
      <c r="G214" s="8">
        <v>0</v>
      </c>
      <c r="H214" s="8">
        <v>0</v>
      </c>
      <c r="I214" s="8" t="s">
        <v>415</v>
      </c>
      <c r="J214" s="9">
        <v>7.25</v>
      </c>
    </row>
    <row r="215" spans="1:10" x14ac:dyDescent="0.3">
      <c r="A215" s="10">
        <v>214</v>
      </c>
      <c r="B215" s="11">
        <v>0</v>
      </c>
      <c r="C215" s="11">
        <v>2</v>
      </c>
      <c r="D215" s="11" t="s">
        <v>416</v>
      </c>
      <c r="E215" s="11" t="s">
        <v>11</v>
      </c>
      <c r="F215" s="11">
        <v>30</v>
      </c>
      <c r="G215" s="11">
        <v>0</v>
      </c>
      <c r="H215" s="11">
        <v>0</v>
      </c>
      <c r="I215" s="11" t="s">
        <v>417</v>
      </c>
      <c r="J215" s="12">
        <v>13</v>
      </c>
    </row>
    <row r="216" spans="1:10" x14ac:dyDescent="0.3">
      <c r="A216" s="7">
        <v>215</v>
      </c>
      <c r="B216" s="8">
        <v>0</v>
      </c>
      <c r="C216" s="8">
        <v>3</v>
      </c>
      <c r="D216" s="8" t="s">
        <v>418</v>
      </c>
      <c r="E216" s="8" t="s">
        <v>11</v>
      </c>
      <c r="F216" s="8"/>
      <c r="G216" s="8">
        <v>1</v>
      </c>
      <c r="H216" s="8">
        <v>0</v>
      </c>
      <c r="I216" s="8" t="s">
        <v>419</v>
      </c>
      <c r="J216" s="9">
        <v>7.75</v>
      </c>
    </row>
    <row r="217" spans="1:10" x14ac:dyDescent="0.3">
      <c r="A217" s="10">
        <v>216</v>
      </c>
      <c r="B217" s="11">
        <v>1</v>
      </c>
      <c r="C217" s="11">
        <v>1</v>
      </c>
      <c r="D217" s="11" t="s">
        <v>420</v>
      </c>
      <c r="E217" s="11" t="s">
        <v>14</v>
      </c>
      <c r="F217" s="11">
        <v>31</v>
      </c>
      <c r="G217" s="11">
        <v>1</v>
      </c>
      <c r="H217" s="11">
        <v>0</v>
      </c>
      <c r="I217" s="11" t="s">
        <v>421</v>
      </c>
      <c r="J217" s="12">
        <v>113.27500000000001</v>
      </c>
    </row>
    <row r="218" spans="1:10" x14ac:dyDescent="0.3">
      <c r="A218" s="7">
        <v>217</v>
      </c>
      <c r="B218" s="8">
        <v>1</v>
      </c>
      <c r="C218" s="8">
        <v>3</v>
      </c>
      <c r="D218" s="8" t="s">
        <v>422</v>
      </c>
      <c r="E218" s="8" t="s">
        <v>14</v>
      </c>
      <c r="F218" s="8">
        <v>27</v>
      </c>
      <c r="G218" s="8">
        <v>0</v>
      </c>
      <c r="H218" s="8">
        <v>0</v>
      </c>
      <c r="I218" s="8" t="s">
        <v>423</v>
      </c>
      <c r="J218" s="9">
        <v>7.9249999999999998</v>
      </c>
    </row>
    <row r="219" spans="1:10" x14ac:dyDescent="0.3">
      <c r="A219" s="10">
        <v>218</v>
      </c>
      <c r="B219" s="11">
        <v>0</v>
      </c>
      <c r="C219" s="11">
        <v>2</v>
      </c>
      <c r="D219" s="11" t="s">
        <v>424</v>
      </c>
      <c r="E219" s="11" t="s">
        <v>11</v>
      </c>
      <c r="F219" s="11">
        <v>42</v>
      </c>
      <c r="G219" s="11">
        <v>1</v>
      </c>
      <c r="H219" s="11">
        <v>0</v>
      </c>
      <c r="I219" s="11" t="s">
        <v>425</v>
      </c>
      <c r="J219" s="12">
        <v>27</v>
      </c>
    </row>
    <row r="220" spans="1:10" x14ac:dyDescent="0.3">
      <c r="A220" s="7">
        <v>219</v>
      </c>
      <c r="B220" s="8">
        <v>1</v>
      </c>
      <c r="C220" s="8">
        <v>1</v>
      </c>
      <c r="D220" s="8" t="s">
        <v>426</v>
      </c>
      <c r="E220" s="8" t="s">
        <v>14</v>
      </c>
      <c r="F220" s="8">
        <v>32</v>
      </c>
      <c r="G220" s="8">
        <v>0</v>
      </c>
      <c r="H220" s="8">
        <v>0</v>
      </c>
      <c r="I220" s="8" t="s">
        <v>427</v>
      </c>
      <c r="J220" s="9">
        <v>76.291700000000006</v>
      </c>
    </row>
    <row r="221" spans="1:10" x14ac:dyDescent="0.3">
      <c r="A221" s="10">
        <v>220</v>
      </c>
      <c r="B221" s="11">
        <v>0</v>
      </c>
      <c r="C221" s="11">
        <v>2</v>
      </c>
      <c r="D221" s="11" t="s">
        <v>428</v>
      </c>
      <c r="E221" s="11" t="s">
        <v>11</v>
      </c>
      <c r="F221" s="11">
        <v>30</v>
      </c>
      <c r="G221" s="11">
        <v>0</v>
      </c>
      <c r="H221" s="11">
        <v>0</v>
      </c>
      <c r="I221" s="11" t="s">
        <v>429</v>
      </c>
      <c r="J221" s="12">
        <v>10.5</v>
      </c>
    </row>
    <row r="222" spans="1:10" x14ac:dyDescent="0.3">
      <c r="A222" s="7">
        <v>221</v>
      </c>
      <c r="B222" s="8">
        <v>1</v>
      </c>
      <c r="C222" s="8">
        <v>3</v>
      </c>
      <c r="D222" s="8" t="s">
        <v>430</v>
      </c>
      <c r="E222" s="8" t="s">
        <v>11</v>
      </c>
      <c r="F222" s="8">
        <v>16</v>
      </c>
      <c r="G222" s="8">
        <v>0</v>
      </c>
      <c r="H222" s="8">
        <v>0</v>
      </c>
      <c r="I222" s="8" t="s">
        <v>431</v>
      </c>
      <c r="J222" s="9">
        <v>8.0500000000000007</v>
      </c>
    </row>
    <row r="223" spans="1:10" x14ac:dyDescent="0.3">
      <c r="A223" s="10">
        <v>222</v>
      </c>
      <c r="B223" s="11">
        <v>0</v>
      </c>
      <c r="C223" s="11">
        <v>2</v>
      </c>
      <c r="D223" s="11" t="s">
        <v>432</v>
      </c>
      <c r="E223" s="11" t="s">
        <v>11</v>
      </c>
      <c r="F223" s="11">
        <v>27</v>
      </c>
      <c r="G223" s="11">
        <v>0</v>
      </c>
      <c r="H223" s="11">
        <v>0</v>
      </c>
      <c r="I223" s="11" t="s">
        <v>433</v>
      </c>
      <c r="J223" s="12">
        <v>13</v>
      </c>
    </row>
    <row r="224" spans="1:10" x14ac:dyDescent="0.3">
      <c r="A224" s="7">
        <v>223</v>
      </c>
      <c r="B224" s="8">
        <v>0</v>
      </c>
      <c r="C224" s="8">
        <v>3</v>
      </c>
      <c r="D224" s="8" t="s">
        <v>434</v>
      </c>
      <c r="E224" s="8" t="s">
        <v>11</v>
      </c>
      <c r="F224" s="8">
        <v>51</v>
      </c>
      <c r="G224" s="8">
        <v>0</v>
      </c>
      <c r="H224" s="8">
        <v>0</v>
      </c>
      <c r="I224" s="8" t="s">
        <v>435</v>
      </c>
      <c r="J224" s="9">
        <v>8.0500000000000007</v>
      </c>
    </row>
    <row r="225" spans="1:10" x14ac:dyDescent="0.3">
      <c r="A225" s="10">
        <v>224</v>
      </c>
      <c r="B225" s="11">
        <v>0</v>
      </c>
      <c r="C225" s="11">
        <v>3</v>
      </c>
      <c r="D225" s="11" t="s">
        <v>436</v>
      </c>
      <c r="E225" s="11" t="s">
        <v>11</v>
      </c>
      <c r="F225" s="11"/>
      <c r="G225" s="11">
        <v>0</v>
      </c>
      <c r="H225" s="11">
        <v>0</v>
      </c>
      <c r="I225" s="11" t="s">
        <v>437</v>
      </c>
      <c r="J225" s="12">
        <v>7.8958000000000004</v>
      </c>
    </row>
    <row r="226" spans="1:10" x14ac:dyDescent="0.3">
      <c r="A226" s="7">
        <v>225</v>
      </c>
      <c r="B226" s="8">
        <v>1</v>
      </c>
      <c r="C226" s="8">
        <v>1</v>
      </c>
      <c r="D226" s="8" t="s">
        <v>438</v>
      </c>
      <c r="E226" s="8" t="s">
        <v>11</v>
      </c>
      <c r="F226" s="8">
        <v>38</v>
      </c>
      <c r="G226" s="8">
        <v>1</v>
      </c>
      <c r="H226" s="8">
        <v>0</v>
      </c>
      <c r="I226" s="8" t="s">
        <v>439</v>
      </c>
      <c r="J226" s="9">
        <v>90</v>
      </c>
    </row>
    <row r="227" spans="1:10" x14ac:dyDescent="0.3">
      <c r="A227" s="10">
        <v>226</v>
      </c>
      <c r="B227" s="11">
        <v>0</v>
      </c>
      <c r="C227" s="11">
        <v>3</v>
      </c>
      <c r="D227" s="11" t="s">
        <v>440</v>
      </c>
      <c r="E227" s="11" t="s">
        <v>11</v>
      </c>
      <c r="F227" s="11">
        <v>22</v>
      </c>
      <c r="G227" s="11">
        <v>0</v>
      </c>
      <c r="H227" s="11">
        <v>0</v>
      </c>
      <c r="I227" s="11" t="s">
        <v>441</v>
      </c>
      <c r="J227" s="12">
        <v>9.35</v>
      </c>
    </row>
    <row r="228" spans="1:10" x14ac:dyDescent="0.3">
      <c r="A228" s="7">
        <v>227</v>
      </c>
      <c r="B228" s="8">
        <v>1</v>
      </c>
      <c r="C228" s="8">
        <v>2</v>
      </c>
      <c r="D228" s="8" t="s">
        <v>442</v>
      </c>
      <c r="E228" s="8" t="s">
        <v>11</v>
      </c>
      <c r="F228" s="8">
        <v>19</v>
      </c>
      <c r="G228" s="8">
        <v>0</v>
      </c>
      <c r="H228" s="8">
        <v>0</v>
      </c>
      <c r="I228" s="8" t="s">
        <v>443</v>
      </c>
      <c r="J228" s="9">
        <v>10.5</v>
      </c>
    </row>
    <row r="229" spans="1:10" x14ac:dyDescent="0.3">
      <c r="A229" s="10">
        <v>228</v>
      </c>
      <c r="B229" s="11">
        <v>0</v>
      </c>
      <c r="C229" s="11">
        <v>3</v>
      </c>
      <c r="D229" s="11" t="s">
        <v>444</v>
      </c>
      <c r="E229" s="11" t="s">
        <v>11</v>
      </c>
      <c r="F229" s="11">
        <v>20.5</v>
      </c>
      <c r="G229" s="11">
        <v>0</v>
      </c>
      <c r="H229" s="11">
        <v>0</v>
      </c>
      <c r="I229" s="11" t="s">
        <v>445</v>
      </c>
      <c r="J229" s="12">
        <v>7.25</v>
      </c>
    </row>
    <row r="230" spans="1:10" x14ac:dyDescent="0.3">
      <c r="A230" s="7">
        <v>229</v>
      </c>
      <c r="B230" s="8">
        <v>0</v>
      </c>
      <c r="C230" s="8">
        <v>2</v>
      </c>
      <c r="D230" s="8" t="s">
        <v>446</v>
      </c>
      <c r="E230" s="8" t="s">
        <v>11</v>
      </c>
      <c r="F230" s="8">
        <v>18</v>
      </c>
      <c r="G230" s="8">
        <v>0</v>
      </c>
      <c r="H230" s="8">
        <v>0</v>
      </c>
      <c r="I230" s="8" t="s">
        <v>447</v>
      </c>
      <c r="J230" s="9">
        <v>13</v>
      </c>
    </row>
    <row r="231" spans="1:10" x14ac:dyDescent="0.3">
      <c r="A231" s="10">
        <v>230</v>
      </c>
      <c r="B231" s="11">
        <v>0</v>
      </c>
      <c r="C231" s="11">
        <v>3</v>
      </c>
      <c r="D231" s="11" t="s">
        <v>448</v>
      </c>
      <c r="E231" s="11" t="s">
        <v>14</v>
      </c>
      <c r="F231" s="11"/>
      <c r="G231" s="11">
        <v>3</v>
      </c>
      <c r="H231" s="11">
        <v>1</v>
      </c>
      <c r="I231" s="11" t="s">
        <v>349</v>
      </c>
      <c r="J231" s="12">
        <v>25.466699999999999</v>
      </c>
    </row>
    <row r="232" spans="1:10" x14ac:dyDescent="0.3">
      <c r="A232" s="7">
        <v>231</v>
      </c>
      <c r="B232" s="8">
        <v>1</v>
      </c>
      <c r="C232" s="8">
        <v>1</v>
      </c>
      <c r="D232" s="8" t="s">
        <v>449</v>
      </c>
      <c r="E232" s="8" t="s">
        <v>14</v>
      </c>
      <c r="F232" s="8">
        <v>35</v>
      </c>
      <c r="G232" s="8">
        <v>1</v>
      </c>
      <c r="H232" s="8">
        <v>0</v>
      </c>
      <c r="I232" s="8" t="s">
        <v>136</v>
      </c>
      <c r="J232" s="9">
        <v>83.474999999999994</v>
      </c>
    </row>
    <row r="233" spans="1:10" x14ac:dyDescent="0.3">
      <c r="A233" s="10">
        <v>232</v>
      </c>
      <c r="B233" s="11">
        <v>0</v>
      </c>
      <c r="C233" s="11">
        <v>3</v>
      </c>
      <c r="D233" s="11" t="s">
        <v>450</v>
      </c>
      <c r="E233" s="11" t="s">
        <v>11</v>
      </c>
      <c r="F233" s="11">
        <v>29</v>
      </c>
      <c r="G233" s="11">
        <v>0</v>
      </c>
      <c r="H233" s="11">
        <v>0</v>
      </c>
      <c r="I233" s="11" t="s">
        <v>451</v>
      </c>
      <c r="J233" s="12">
        <v>7.7750000000000004</v>
      </c>
    </row>
    <row r="234" spans="1:10" x14ac:dyDescent="0.3">
      <c r="A234" s="7">
        <v>233</v>
      </c>
      <c r="B234" s="8">
        <v>0</v>
      </c>
      <c r="C234" s="8">
        <v>2</v>
      </c>
      <c r="D234" s="8" t="s">
        <v>452</v>
      </c>
      <c r="E234" s="8" t="s">
        <v>11</v>
      </c>
      <c r="F234" s="8">
        <v>59</v>
      </c>
      <c r="G234" s="8">
        <v>0</v>
      </c>
      <c r="H234" s="8">
        <v>0</v>
      </c>
      <c r="I234" s="8" t="s">
        <v>453</v>
      </c>
      <c r="J234" s="9">
        <v>13.5</v>
      </c>
    </row>
    <row r="235" spans="1:10" x14ac:dyDescent="0.3">
      <c r="A235" s="10">
        <v>234</v>
      </c>
      <c r="B235" s="11">
        <v>1</v>
      </c>
      <c r="C235" s="11">
        <v>3</v>
      </c>
      <c r="D235" s="11" t="s">
        <v>454</v>
      </c>
      <c r="E235" s="11" t="s">
        <v>14</v>
      </c>
      <c r="F235" s="11">
        <v>5</v>
      </c>
      <c r="G235" s="11">
        <v>4</v>
      </c>
      <c r="H235" s="11">
        <v>2</v>
      </c>
      <c r="I235" s="11" t="s">
        <v>62</v>
      </c>
      <c r="J235" s="12">
        <v>31.387499999999999</v>
      </c>
    </row>
    <row r="236" spans="1:10" x14ac:dyDescent="0.3">
      <c r="A236" s="7">
        <v>235</v>
      </c>
      <c r="B236" s="8">
        <v>0</v>
      </c>
      <c r="C236" s="8">
        <v>2</v>
      </c>
      <c r="D236" s="8" t="s">
        <v>455</v>
      </c>
      <c r="E236" s="8" t="s">
        <v>11</v>
      </c>
      <c r="F236" s="8">
        <v>24</v>
      </c>
      <c r="G236" s="8">
        <v>0</v>
      </c>
      <c r="H236" s="8">
        <v>0</v>
      </c>
      <c r="I236" s="8" t="s">
        <v>456</v>
      </c>
      <c r="J236" s="9">
        <v>10.5</v>
      </c>
    </row>
    <row r="237" spans="1:10" x14ac:dyDescent="0.3">
      <c r="A237" s="10">
        <v>236</v>
      </c>
      <c r="B237" s="11">
        <v>0</v>
      </c>
      <c r="C237" s="11">
        <v>3</v>
      </c>
      <c r="D237" s="11" t="s">
        <v>457</v>
      </c>
      <c r="E237" s="11" t="s">
        <v>14</v>
      </c>
      <c r="F237" s="11"/>
      <c r="G237" s="11">
        <v>0</v>
      </c>
      <c r="H237" s="11">
        <v>0</v>
      </c>
      <c r="I237" s="11" t="s">
        <v>458</v>
      </c>
      <c r="J237" s="12">
        <v>7.55</v>
      </c>
    </row>
    <row r="238" spans="1:10" x14ac:dyDescent="0.3">
      <c r="A238" s="7">
        <v>237</v>
      </c>
      <c r="B238" s="8">
        <v>0</v>
      </c>
      <c r="C238" s="8">
        <v>2</v>
      </c>
      <c r="D238" s="8" t="s">
        <v>459</v>
      </c>
      <c r="E238" s="8" t="s">
        <v>11</v>
      </c>
      <c r="F238" s="8">
        <v>44</v>
      </c>
      <c r="G238" s="8">
        <v>1</v>
      </c>
      <c r="H238" s="8">
        <v>0</v>
      </c>
      <c r="I238" s="8" t="s">
        <v>460</v>
      </c>
      <c r="J238" s="9">
        <v>26</v>
      </c>
    </row>
    <row r="239" spans="1:10" x14ac:dyDescent="0.3">
      <c r="A239" s="10">
        <v>238</v>
      </c>
      <c r="B239" s="11">
        <v>1</v>
      </c>
      <c r="C239" s="11">
        <v>2</v>
      </c>
      <c r="D239" s="11" t="s">
        <v>461</v>
      </c>
      <c r="E239" s="11" t="s">
        <v>14</v>
      </c>
      <c r="F239" s="11">
        <v>8</v>
      </c>
      <c r="G239" s="11">
        <v>0</v>
      </c>
      <c r="H239" s="11">
        <v>2</v>
      </c>
      <c r="I239" s="11" t="s">
        <v>462</v>
      </c>
      <c r="J239" s="12">
        <v>26.25</v>
      </c>
    </row>
    <row r="240" spans="1:10" x14ac:dyDescent="0.3">
      <c r="A240" s="7">
        <v>239</v>
      </c>
      <c r="B240" s="8">
        <v>0</v>
      </c>
      <c r="C240" s="8">
        <v>2</v>
      </c>
      <c r="D240" s="8" t="s">
        <v>463</v>
      </c>
      <c r="E240" s="8" t="s">
        <v>11</v>
      </c>
      <c r="F240" s="8">
        <v>19</v>
      </c>
      <c r="G240" s="8">
        <v>0</v>
      </c>
      <c r="H240" s="8">
        <v>0</v>
      </c>
      <c r="I240" s="8" t="s">
        <v>464</v>
      </c>
      <c r="J240" s="9">
        <v>10.5</v>
      </c>
    </row>
    <row r="241" spans="1:10" x14ac:dyDescent="0.3">
      <c r="A241" s="10">
        <v>240</v>
      </c>
      <c r="B241" s="11">
        <v>0</v>
      </c>
      <c r="C241" s="11">
        <v>2</v>
      </c>
      <c r="D241" s="11" t="s">
        <v>465</v>
      </c>
      <c r="E241" s="11" t="s">
        <v>11</v>
      </c>
      <c r="F241" s="11">
        <v>33</v>
      </c>
      <c r="G241" s="11">
        <v>0</v>
      </c>
      <c r="H241" s="11">
        <v>0</v>
      </c>
      <c r="I241" s="11" t="s">
        <v>466</v>
      </c>
      <c r="J241" s="12">
        <v>12.275</v>
      </c>
    </row>
    <row r="242" spans="1:10" x14ac:dyDescent="0.3">
      <c r="A242" s="7">
        <v>241</v>
      </c>
      <c r="B242" s="8">
        <v>0</v>
      </c>
      <c r="C242" s="8">
        <v>3</v>
      </c>
      <c r="D242" s="8" t="s">
        <v>467</v>
      </c>
      <c r="E242" s="8" t="s">
        <v>14</v>
      </c>
      <c r="F242" s="8"/>
      <c r="G242" s="8">
        <v>1</v>
      </c>
      <c r="H242" s="8">
        <v>0</v>
      </c>
      <c r="I242" s="8" t="s">
        <v>232</v>
      </c>
      <c r="J242" s="9">
        <v>14.4542</v>
      </c>
    </row>
    <row r="243" spans="1:10" x14ac:dyDescent="0.3">
      <c r="A243" s="10">
        <v>242</v>
      </c>
      <c r="B243" s="11">
        <v>1</v>
      </c>
      <c r="C243" s="11">
        <v>3</v>
      </c>
      <c r="D243" s="11" t="s">
        <v>468</v>
      </c>
      <c r="E243" s="11" t="s">
        <v>14</v>
      </c>
      <c r="F243" s="11"/>
      <c r="G243" s="11">
        <v>1</v>
      </c>
      <c r="H243" s="11">
        <v>0</v>
      </c>
      <c r="I243" s="11" t="s">
        <v>469</v>
      </c>
      <c r="J243" s="12">
        <v>15.5</v>
      </c>
    </row>
    <row r="244" spans="1:10" x14ac:dyDescent="0.3">
      <c r="A244" s="7">
        <v>243</v>
      </c>
      <c r="B244" s="8">
        <v>0</v>
      </c>
      <c r="C244" s="8">
        <v>2</v>
      </c>
      <c r="D244" s="8" t="s">
        <v>470</v>
      </c>
      <c r="E244" s="8" t="s">
        <v>11</v>
      </c>
      <c r="F244" s="8">
        <v>29</v>
      </c>
      <c r="G244" s="8">
        <v>0</v>
      </c>
      <c r="H244" s="8">
        <v>0</v>
      </c>
      <c r="I244" s="8" t="s">
        <v>471</v>
      </c>
      <c r="J244" s="9">
        <v>10.5</v>
      </c>
    </row>
    <row r="245" spans="1:10" x14ac:dyDescent="0.3">
      <c r="A245" s="10">
        <v>244</v>
      </c>
      <c r="B245" s="11">
        <v>0</v>
      </c>
      <c r="C245" s="11">
        <v>3</v>
      </c>
      <c r="D245" s="11" t="s">
        <v>472</v>
      </c>
      <c r="E245" s="11" t="s">
        <v>11</v>
      </c>
      <c r="F245" s="11">
        <v>22</v>
      </c>
      <c r="G245" s="11">
        <v>0</v>
      </c>
      <c r="H245" s="11">
        <v>0</v>
      </c>
      <c r="I245" s="11" t="s">
        <v>473</v>
      </c>
      <c r="J245" s="12">
        <v>7.125</v>
      </c>
    </row>
    <row r="246" spans="1:10" x14ac:dyDescent="0.3">
      <c r="A246" s="7">
        <v>245</v>
      </c>
      <c r="B246" s="8">
        <v>0</v>
      </c>
      <c r="C246" s="8">
        <v>3</v>
      </c>
      <c r="D246" s="8" t="s">
        <v>474</v>
      </c>
      <c r="E246" s="8" t="s">
        <v>11</v>
      </c>
      <c r="F246" s="8">
        <v>30</v>
      </c>
      <c r="G246" s="8">
        <v>0</v>
      </c>
      <c r="H246" s="8">
        <v>0</v>
      </c>
      <c r="I246" s="8" t="s">
        <v>475</v>
      </c>
      <c r="J246" s="9">
        <v>7.2249999999999996</v>
      </c>
    </row>
    <row r="247" spans="1:10" x14ac:dyDescent="0.3">
      <c r="A247" s="10">
        <v>246</v>
      </c>
      <c r="B247" s="11">
        <v>0</v>
      </c>
      <c r="C247" s="11">
        <v>1</v>
      </c>
      <c r="D247" s="11" t="s">
        <v>476</v>
      </c>
      <c r="E247" s="11" t="s">
        <v>11</v>
      </c>
      <c r="F247" s="11">
        <v>44</v>
      </c>
      <c r="G247" s="11">
        <v>2</v>
      </c>
      <c r="H247" s="11">
        <v>0</v>
      </c>
      <c r="I247" s="11" t="s">
        <v>477</v>
      </c>
      <c r="J247" s="12">
        <v>90</v>
      </c>
    </row>
    <row r="248" spans="1:10" x14ac:dyDescent="0.3">
      <c r="A248" s="7">
        <v>247</v>
      </c>
      <c r="B248" s="8">
        <v>0</v>
      </c>
      <c r="C248" s="8">
        <v>3</v>
      </c>
      <c r="D248" s="8" t="s">
        <v>478</v>
      </c>
      <c r="E248" s="8" t="s">
        <v>14</v>
      </c>
      <c r="F248" s="8">
        <v>25</v>
      </c>
      <c r="G248" s="8">
        <v>0</v>
      </c>
      <c r="H248" s="8">
        <v>0</v>
      </c>
      <c r="I248" s="8" t="s">
        <v>479</v>
      </c>
      <c r="J248" s="9">
        <v>7.7750000000000004</v>
      </c>
    </row>
    <row r="249" spans="1:10" x14ac:dyDescent="0.3">
      <c r="A249" s="10">
        <v>248</v>
      </c>
      <c r="B249" s="11">
        <v>1</v>
      </c>
      <c r="C249" s="11">
        <v>2</v>
      </c>
      <c r="D249" s="11" t="s">
        <v>480</v>
      </c>
      <c r="E249" s="11" t="s">
        <v>14</v>
      </c>
      <c r="F249" s="11">
        <v>24</v>
      </c>
      <c r="G249" s="11">
        <v>0</v>
      </c>
      <c r="H249" s="11">
        <v>2</v>
      </c>
      <c r="I249" s="11" t="s">
        <v>481</v>
      </c>
      <c r="J249" s="12">
        <v>14.5</v>
      </c>
    </row>
    <row r="250" spans="1:10" x14ac:dyDescent="0.3">
      <c r="A250" s="7">
        <v>249</v>
      </c>
      <c r="B250" s="8">
        <v>1</v>
      </c>
      <c r="C250" s="8">
        <v>1</v>
      </c>
      <c r="D250" s="8" t="s">
        <v>482</v>
      </c>
      <c r="E250" s="8" t="s">
        <v>11</v>
      </c>
      <c r="F250" s="8">
        <v>37</v>
      </c>
      <c r="G250" s="8">
        <v>1</v>
      </c>
      <c r="H250" s="8">
        <v>1</v>
      </c>
      <c r="I250" s="8" t="s">
        <v>483</v>
      </c>
      <c r="J250" s="9">
        <v>52.554200000000002</v>
      </c>
    </row>
    <row r="251" spans="1:10" x14ac:dyDescent="0.3">
      <c r="A251" s="10">
        <v>250</v>
      </c>
      <c r="B251" s="11">
        <v>0</v>
      </c>
      <c r="C251" s="11">
        <v>2</v>
      </c>
      <c r="D251" s="11" t="s">
        <v>484</v>
      </c>
      <c r="E251" s="11" t="s">
        <v>11</v>
      </c>
      <c r="F251" s="11">
        <v>54</v>
      </c>
      <c r="G251" s="11">
        <v>1</v>
      </c>
      <c r="H251" s="11">
        <v>0</v>
      </c>
      <c r="I251" s="11" t="s">
        <v>485</v>
      </c>
      <c r="J251" s="12">
        <v>26</v>
      </c>
    </row>
    <row r="252" spans="1:10" x14ac:dyDescent="0.3">
      <c r="A252" s="7">
        <v>251</v>
      </c>
      <c r="B252" s="8">
        <v>0</v>
      </c>
      <c r="C252" s="8">
        <v>3</v>
      </c>
      <c r="D252" s="8" t="s">
        <v>486</v>
      </c>
      <c r="E252" s="8" t="s">
        <v>11</v>
      </c>
      <c r="F252" s="8"/>
      <c r="G252" s="8">
        <v>0</v>
      </c>
      <c r="H252" s="8">
        <v>0</v>
      </c>
      <c r="I252" s="8" t="s">
        <v>487</v>
      </c>
      <c r="J252" s="9">
        <v>7.25</v>
      </c>
    </row>
    <row r="253" spans="1:10" x14ac:dyDescent="0.3">
      <c r="A253" s="10">
        <v>252</v>
      </c>
      <c r="B253" s="11">
        <v>0</v>
      </c>
      <c r="C253" s="11">
        <v>3</v>
      </c>
      <c r="D253" s="11" t="s">
        <v>488</v>
      </c>
      <c r="E253" s="11" t="s">
        <v>14</v>
      </c>
      <c r="F253" s="11">
        <v>29</v>
      </c>
      <c r="G253" s="11">
        <v>1</v>
      </c>
      <c r="H253" s="11">
        <v>1</v>
      </c>
      <c r="I253" s="11" t="s">
        <v>402</v>
      </c>
      <c r="J253" s="12">
        <v>10.4625</v>
      </c>
    </row>
    <row r="254" spans="1:10" x14ac:dyDescent="0.3">
      <c r="A254" s="7">
        <v>253</v>
      </c>
      <c r="B254" s="8">
        <v>0</v>
      </c>
      <c r="C254" s="8">
        <v>1</v>
      </c>
      <c r="D254" s="8" t="s">
        <v>489</v>
      </c>
      <c r="E254" s="8" t="s">
        <v>11</v>
      </c>
      <c r="F254" s="8">
        <v>62</v>
      </c>
      <c r="G254" s="8">
        <v>0</v>
      </c>
      <c r="H254" s="8">
        <v>0</v>
      </c>
      <c r="I254" s="8" t="s">
        <v>490</v>
      </c>
      <c r="J254" s="9">
        <v>26.55</v>
      </c>
    </row>
    <row r="255" spans="1:10" x14ac:dyDescent="0.3">
      <c r="A255" s="10">
        <v>254</v>
      </c>
      <c r="B255" s="11">
        <v>0</v>
      </c>
      <c r="C255" s="11">
        <v>3</v>
      </c>
      <c r="D255" s="11" t="s">
        <v>491</v>
      </c>
      <c r="E255" s="11" t="s">
        <v>11</v>
      </c>
      <c r="F255" s="11">
        <v>30</v>
      </c>
      <c r="G255" s="11">
        <v>1</v>
      </c>
      <c r="H255" s="11">
        <v>0</v>
      </c>
      <c r="I255" s="11" t="s">
        <v>492</v>
      </c>
      <c r="J255" s="12">
        <v>16.100000000000001</v>
      </c>
    </row>
    <row r="256" spans="1:10" x14ac:dyDescent="0.3">
      <c r="A256" s="7">
        <v>255</v>
      </c>
      <c r="B256" s="8">
        <v>0</v>
      </c>
      <c r="C256" s="8">
        <v>3</v>
      </c>
      <c r="D256" s="8" t="s">
        <v>493</v>
      </c>
      <c r="E256" s="8" t="s">
        <v>14</v>
      </c>
      <c r="F256" s="8">
        <v>41</v>
      </c>
      <c r="G256" s="8">
        <v>0</v>
      </c>
      <c r="H256" s="8">
        <v>2</v>
      </c>
      <c r="I256" s="8" t="s">
        <v>494</v>
      </c>
      <c r="J256" s="9">
        <v>20.212499999999999</v>
      </c>
    </row>
    <row r="257" spans="1:10" x14ac:dyDescent="0.3">
      <c r="A257" s="10">
        <v>256</v>
      </c>
      <c r="B257" s="11">
        <v>1</v>
      </c>
      <c r="C257" s="11">
        <v>3</v>
      </c>
      <c r="D257" s="11" t="s">
        <v>495</v>
      </c>
      <c r="E257" s="11" t="s">
        <v>14</v>
      </c>
      <c r="F257" s="11">
        <v>29</v>
      </c>
      <c r="G257" s="11">
        <v>0</v>
      </c>
      <c r="H257" s="11">
        <v>2</v>
      </c>
      <c r="I257" s="11" t="s">
        <v>496</v>
      </c>
      <c r="J257" s="12">
        <v>15.245799999999999</v>
      </c>
    </row>
    <row r="258" spans="1:10" x14ac:dyDescent="0.3">
      <c r="A258" s="7">
        <v>257</v>
      </c>
      <c r="B258" s="8">
        <v>1</v>
      </c>
      <c r="C258" s="8">
        <v>1</v>
      </c>
      <c r="D258" s="8" t="s">
        <v>497</v>
      </c>
      <c r="E258" s="8" t="s">
        <v>14</v>
      </c>
      <c r="F258" s="8"/>
      <c r="G258" s="8">
        <v>0</v>
      </c>
      <c r="H258" s="8">
        <v>0</v>
      </c>
      <c r="I258" s="8" t="s">
        <v>498</v>
      </c>
      <c r="J258" s="9">
        <v>79.2</v>
      </c>
    </row>
    <row r="259" spans="1:10" x14ac:dyDescent="0.3">
      <c r="A259" s="10">
        <v>258</v>
      </c>
      <c r="B259" s="11">
        <v>1</v>
      </c>
      <c r="C259" s="11">
        <v>1</v>
      </c>
      <c r="D259" s="11" t="s">
        <v>499</v>
      </c>
      <c r="E259" s="11" t="s">
        <v>14</v>
      </c>
      <c r="F259" s="11">
        <v>30</v>
      </c>
      <c r="G259" s="11">
        <v>0</v>
      </c>
      <c r="H259" s="11">
        <v>0</v>
      </c>
      <c r="I259" s="11" t="s">
        <v>500</v>
      </c>
      <c r="J259" s="12">
        <v>86.5</v>
      </c>
    </row>
    <row r="260" spans="1:10" x14ac:dyDescent="0.3">
      <c r="A260" s="7">
        <v>259</v>
      </c>
      <c r="B260" s="8">
        <v>1</v>
      </c>
      <c r="C260" s="8">
        <v>1</v>
      </c>
      <c r="D260" s="8" t="s">
        <v>501</v>
      </c>
      <c r="E260" s="8" t="s">
        <v>14</v>
      </c>
      <c r="F260" s="8">
        <v>35</v>
      </c>
      <c r="G260" s="8">
        <v>0</v>
      </c>
      <c r="H260" s="8">
        <v>0</v>
      </c>
      <c r="I260" s="8" t="s">
        <v>502</v>
      </c>
      <c r="J260" s="9">
        <v>512.32920000000001</v>
      </c>
    </row>
    <row r="261" spans="1:10" x14ac:dyDescent="0.3">
      <c r="A261" s="10">
        <v>260</v>
      </c>
      <c r="B261" s="11">
        <v>1</v>
      </c>
      <c r="C261" s="11">
        <v>2</v>
      </c>
      <c r="D261" s="11" t="s">
        <v>503</v>
      </c>
      <c r="E261" s="11" t="s">
        <v>14</v>
      </c>
      <c r="F261" s="11">
        <v>50</v>
      </c>
      <c r="G261" s="11">
        <v>0</v>
      </c>
      <c r="H261" s="11">
        <v>1</v>
      </c>
      <c r="I261" s="11" t="s">
        <v>504</v>
      </c>
      <c r="J261" s="12">
        <v>26</v>
      </c>
    </row>
    <row r="262" spans="1:10" x14ac:dyDescent="0.3">
      <c r="A262" s="7">
        <v>261</v>
      </c>
      <c r="B262" s="8">
        <v>0</v>
      </c>
      <c r="C262" s="8">
        <v>3</v>
      </c>
      <c r="D262" s="8" t="s">
        <v>505</v>
      </c>
      <c r="E262" s="8" t="s">
        <v>11</v>
      </c>
      <c r="F262" s="8"/>
      <c r="G262" s="8">
        <v>0</v>
      </c>
      <c r="H262" s="8">
        <v>0</v>
      </c>
      <c r="I262" s="8" t="s">
        <v>506</v>
      </c>
      <c r="J262" s="9">
        <v>7.75</v>
      </c>
    </row>
    <row r="263" spans="1:10" x14ac:dyDescent="0.3">
      <c r="A263" s="10">
        <v>262</v>
      </c>
      <c r="B263" s="11">
        <v>1</v>
      </c>
      <c r="C263" s="11">
        <v>3</v>
      </c>
      <c r="D263" s="11" t="s">
        <v>507</v>
      </c>
      <c r="E263" s="11" t="s">
        <v>11</v>
      </c>
      <c r="F263" s="11">
        <v>3</v>
      </c>
      <c r="G263" s="11">
        <v>4</v>
      </c>
      <c r="H263" s="11">
        <v>2</v>
      </c>
      <c r="I263" s="11" t="s">
        <v>62</v>
      </c>
      <c r="J263" s="12">
        <v>31.387499999999999</v>
      </c>
    </row>
    <row r="264" spans="1:10" x14ac:dyDescent="0.3">
      <c r="A264" s="7">
        <v>263</v>
      </c>
      <c r="B264" s="8">
        <v>0</v>
      </c>
      <c r="C264" s="8">
        <v>1</v>
      </c>
      <c r="D264" s="8" t="s">
        <v>508</v>
      </c>
      <c r="E264" s="8" t="s">
        <v>11</v>
      </c>
      <c r="F264" s="8">
        <v>52</v>
      </c>
      <c r="G264" s="8">
        <v>1</v>
      </c>
      <c r="H264" s="8">
        <v>1</v>
      </c>
      <c r="I264" s="8" t="s">
        <v>509</v>
      </c>
      <c r="J264" s="9">
        <v>79.650000000000006</v>
      </c>
    </row>
    <row r="265" spans="1:10" x14ac:dyDescent="0.3">
      <c r="A265" s="10">
        <v>264</v>
      </c>
      <c r="B265" s="11">
        <v>0</v>
      </c>
      <c r="C265" s="11">
        <v>1</v>
      </c>
      <c r="D265" s="11" t="s">
        <v>510</v>
      </c>
      <c r="E265" s="11" t="s">
        <v>11</v>
      </c>
      <c r="F265" s="11">
        <v>40</v>
      </c>
      <c r="G265" s="11">
        <v>0</v>
      </c>
      <c r="H265" s="11">
        <v>0</v>
      </c>
      <c r="I265" s="11" t="s">
        <v>511</v>
      </c>
      <c r="J265" s="12">
        <v>0</v>
      </c>
    </row>
    <row r="266" spans="1:10" x14ac:dyDescent="0.3">
      <c r="A266" s="7">
        <v>265</v>
      </c>
      <c r="B266" s="8">
        <v>0</v>
      </c>
      <c r="C266" s="8">
        <v>3</v>
      </c>
      <c r="D266" s="8" t="s">
        <v>512</v>
      </c>
      <c r="E266" s="8" t="s">
        <v>14</v>
      </c>
      <c r="F266" s="8"/>
      <c r="G266" s="8">
        <v>0</v>
      </c>
      <c r="H266" s="8">
        <v>0</v>
      </c>
      <c r="I266" s="8" t="s">
        <v>513</v>
      </c>
      <c r="J266" s="9">
        <v>7.75</v>
      </c>
    </row>
    <row r="267" spans="1:10" x14ac:dyDescent="0.3">
      <c r="A267" s="10">
        <v>266</v>
      </c>
      <c r="B267" s="11">
        <v>0</v>
      </c>
      <c r="C267" s="11">
        <v>2</v>
      </c>
      <c r="D267" s="11" t="s">
        <v>514</v>
      </c>
      <c r="E267" s="11" t="s">
        <v>11</v>
      </c>
      <c r="F267" s="11">
        <v>36</v>
      </c>
      <c r="G267" s="11">
        <v>0</v>
      </c>
      <c r="H267" s="11">
        <v>0</v>
      </c>
      <c r="I267" s="11" t="s">
        <v>515</v>
      </c>
      <c r="J267" s="12">
        <v>10.5</v>
      </c>
    </row>
    <row r="268" spans="1:10" x14ac:dyDescent="0.3">
      <c r="A268" s="7">
        <v>267</v>
      </c>
      <c r="B268" s="8">
        <v>0</v>
      </c>
      <c r="C268" s="8">
        <v>3</v>
      </c>
      <c r="D268" s="8" t="s">
        <v>516</v>
      </c>
      <c r="E268" s="8" t="s">
        <v>11</v>
      </c>
      <c r="F268" s="8">
        <v>16</v>
      </c>
      <c r="G268" s="8">
        <v>4</v>
      </c>
      <c r="H268" s="8">
        <v>1</v>
      </c>
      <c r="I268" s="8" t="s">
        <v>112</v>
      </c>
      <c r="J268" s="9">
        <v>39.6875</v>
      </c>
    </row>
    <row r="269" spans="1:10" x14ac:dyDescent="0.3">
      <c r="A269" s="10">
        <v>268</v>
      </c>
      <c r="B269" s="11">
        <v>1</v>
      </c>
      <c r="C269" s="11">
        <v>3</v>
      </c>
      <c r="D269" s="11" t="s">
        <v>517</v>
      </c>
      <c r="E269" s="11" t="s">
        <v>11</v>
      </c>
      <c r="F269" s="11">
        <v>25</v>
      </c>
      <c r="G269" s="11">
        <v>1</v>
      </c>
      <c r="H269" s="11">
        <v>0</v>
      </c>
      <c r="I269" s="11" t="s">
        <v>518</v>
      </c>
      <c r="J269" s="12">
        <v>7.7750000000000004</v>
      </c>
    </row>
    <row r="270" spans="1:10" x14ac:dyDescent="0.3">
      <c r="A270" s="7">
        <v>269</v>
      </c>
      <c r="B270" s="8">
        <v>1</v>
      </c>
      <c r="C270" s="8">
        <v>1</v>
      </c>
      <c r="D270" s="8" t="s">
        <v>519</v>
      </c>
      <c r="E270" s="8" t="s">
        <v>14</v>
      </c>
      <c r="F270" s="8">
        <v>58</v>
      </c>
      <c r="G270" s="8">
        <v>0</v>
      </c>
      <c r="H270" s="8">
        <v>1</v>
      </c>
      <c r="I270" s="8" t="s">
        <v>520</v>
      </c>
      <c r="J270" s="9">
        <v>153.46250000000001</v>
      </c>
    </row>
    <row r="271" spans="1:10" x14ac:dyDescent="0.3">
      <c r="A271" s="10">
        <v>270</v>
      </c>
      <c r="B271" s="11">
        <v>1</v>
      </c>
      <c r="C271" s="11">
        <v>1</v>
      </c>
      <c r="D271" s="11" t="s">
        <v>521</v>
      </c>
      <c r="E271" s="11" t="s">
        <v>14</v>
      </c>
      <c r="F271" s="11">
        <v>35</v>
      </c>
      <c r="G271" s="11">
        <v>0</v>
      </c>
      <c r="H271" s="11">
        <v>0</v>
      </c>
      <c r="I271" s="11" t="s">
        <v>522</v>
      </c>
      <c r="J271" s="12">
        <v>135.63329999999999</v>
      </c>
    </row>
    <row r="272" spans="1:10" x14ac:dyDescent="0.3">
      <c r="A272" s="7">
        <v>271</v>
      </c>
      <c r="B272" s="8">
        <v>0</v>
      </c>
      <c r="C272" s="8">
        <v>1</v>
      </c>
      <c r="D272" s="8" t="s">
        <v>523</v>
      </c>
      <c r="E272" s="8" t="s">
        <v>11</v>
      </c>
      <c r="F272" s="8"/>
      <c r="G272" s="8">
        <v>0</v>
      </c>
      <c r="H272" s="8">
        <v>0</v>
      </c>
      <c r="I272" s="8" t="s">
        <v>524</v>
      </c>
      <c r="J272" s="9">
        <v>31</v>
      </c>
    </row>
    <row r="273" spans="1:10" x14ac:dyDescent="0.3">
      <c r="A273" s="10">
        <v>272</v>
      </c>
      <c r="B273" s="11">
        <v>1</v>
      </c>
      <c r="C273" s="11">
        <v>3</v>
      </c>
      <c r="D273" s="11" t="s">
        <v>525</v>
      </c>
      <c r="E273" s="11" t="s">
        <v>11</v>
      </c>
      <c r="F273" s="11">
        <v>25</v>
      </c>
      <c r="G273" s="11">
        <v>0</v>
      </c>
      <c r="H273" s="11">
        <v>0</v>
      </c>
      <c r="I273" s="11" t="s">
        <v>355</v>
      </c>
      <c r="J273" s="12">
        <v>0</v>
      </c>
    </row>
    <row r="274" spans="1:10" x14ac:dyDescent="0.3">
      <c r="A274" s="7">
        <v>273</v>
      </c>
      <c r="B274" s="8">
        <v>1</v>
      </c>
      <c r="C274" s="8">
        <v>2</v>
      </c>
      <c r="D274" s="8" t="s">
        <v>526</v>
      </c>
      <c r="E274" s="8" t="s">
        <v>14</v>
      </c>
      <c r="F274" s="8">
        <v>41</v>
      </c>
      <c r="G274" s="8">
        <v>0</v>
      </c>
      <c r="H274" s="8">
        <v>1</v>
      </c>
      <c r="I274" s="8" t="s">
        <v>527</v>
      </c>
      <c r="J274" s="9">
        <v>19.5</v>
      </c>
    </row>
    <row r="275" spans="1:10" x14ac:dyDescent="0.3">
      <c r="A275" s="10">
        <v>274</v>
      </c>
      <c r="B275" s="11">
        <v>0</v>
      </c>
      <c r="C275" s="11">
        <v>1</v>
      </c>
      <c r="D275" s="11" t="s">
        <v>528</v>
      </c>
      <c r="E275" s="11" t="s">
        <v>11</v>
      </c>
      <c r="F275" s="11">
        <v>37</v>
      </c>
      <c r="G275" s="11">
        <v>0</v>
      </c>
      <c r="H275" s="11">
        <v>1</v>
      </c>
      <c r="I275" s="11" t="s">
        <v>529</v>
      </c>
      <c r="J275" s="12">
        <v>29.7</v>
      </c>
    </row>
    <row r="276" spans="1:10" x14ac:dyDescent="0.3">
      <c r="A276" s="7">
        <v>275</v>
      </c>
      <c r="B276" s="8">
        <v>1</v>
      </c>
      <c r="C276" s="8">
        <v>3</v>
      </c>
      <c r="D276" s="8" t="s">
        <v>530</v>
      </c>
      <c r="E276" s="8" t="s">
        <v>14</v>
      </c>
      <c r="F276" s="8"/>
      <c r="G276" s="8">
        <v>0</v>
      </c>
      <c r="H276" s="8">
        <v>0</v>
      </c>
      <c r="I276" s="8" t="s">
        <v>531</v>
      </c>
      <c r="J276" s="9">
        <v>7.75</v>
      </c>
    </row>
    <row r="277" spans="1:10" x14ac:dyDescent="0.3">
      <c r="A277" s="10">
        <v>276</v>
      </c>
      <c r="B277" s="11">
        <v>1</v>
      </c>
      <c r="C277" s="11">
        <v>1</v>
      </c>
      <c r="D277" s="11" t="s">
        <v>532</v>
      </c>
      <c r="E277" s="11" t="s">
        <v>14</v>
      </c>
      <c r="F277" s="11">
        <v>63</v>
      </c>
      <c r="G277" s="11">
        <v>1</v>
      </c>
      <c r="H277" s="11">
        <v>0</v>
      </c>
      <c r="I277" s="11" t="s">
        <v>533</v>
      </c>
      <c r="J277" s="12">
        <v>77.958299999999994</v>
      </c>
    </row>
    <row r="278" spans="1:10" x14ac:dyDescent="0.3">
      <c r="A278" s="7">
        <v>277</v>
      </c>
      <c r="B278" s="8">
        <v>0</v>
      </c>
      <c r="C278" s="8">
        <v>3</v>
      </c>
      <c r="D278" s="8" t="s">
        <v>534</v>
      </c>
      <c r="E278" s="8" t="s">
        <v>14</v>
      </c>
      <c r="F278" s="8">
        <v>45</v>
      </c>
      <c r="G278" s="8">
        <v>0</v>
      </c>
      <c r="H278" s="8">
        <v>0</v>
      </c>
      <c r="I278" s="8" t="s">
        <v>535</v>
      </c>
      <c r="J278" s="9">
        <v>7.75</v>
      </c>
    </row>
    <row r="279" spans="1:10" x14ac:dyDescent="0.3">
      <c r="A279" s="10">
        <v>278</v>
      </c>
      <c r="B279" s="11">
        <v>0</v>
      </c>
      <c r="C279" s="11">
        <v>2</v>
      </c>
      <c r="D279" s="11" t="s">
        <v>536</v>
      </c>
      <c r="E279" s="11" t="s">
        <v>11</v>
      </c>
      <c r="F279" s="11"/>
      <c r="G279" s="11">
        <v>0</v>
      </c>
      <c r="H279" s="11">
        <v>0</v>
      </c>
      <c r="I279" s="11" t="s">
        <v>537</v>
      </c>
      <c r="J279" s="12">
        <v>0</v>
      </c>
    </row>
    <row r="280" spans="1:10" x14ac:dyDescent="0.3">
      <c r="A280" s="7">
        <v>279</v>
      </c>
      <c r="B280" s="8">
        <v>0</v>
      </c>
      <c r="C280" s="8">
        <v>3</v>
      </c>
      <c r="D280" s="8" t="s">
        <v>538</v>
      </c>
      <c r="E280" s="8" t="s">
        <v>11</v>
      </c>
      <c r="F280" s="8">
        <v>7</v>
      </c>
      <c r="G280" s="8">
        <v>4</v>
      </c>
      <c r="H280" s="8">
        <v>1</v>
      </c>
      <c r="I280" s="8" t="s">
        <v>45</v>
      </c>
      <c r="J280" s="9">
        <v>29.125</v>
      </c>
    </row>
    <row r="281" spans="1:10" x14ac:dyDescent="0.3">
      <c r="A281" s="10">
        <v>280</v>
      </c>
      <c r="B281" s="11">
        <v>1</v>
      </c>
      <c r="C281" s="11">
        <v>3</v>
      </c>
      <c r="D281" s="11" t="s">
        <v>539</v>
      </c>
      <c r="E281" s="11" t="s">
        <v>14</v>
      </c>
      <c r="F281" s="11">
        <v>35</v>
      </c>
      <c r="G281" s="11">
        <v>1</v>
      </c>
      <c r="H281" s="11">
        <v>1</v>
      </c>
      <c r="I281" s="11" t="s">
        <v>540</v>
      </c>
      <c r="J281" s="12">
        <v>20.25</v>
      </c>
    </row>
    <row r="282" spans="1:10" x14ac:dyDescent="0.3">
      <c r="A282" s="7">
        <v>281</v>
      </c>
      <c r="B282" s="8">
        <v>0</v>
      </c>
      <c r="C282" s="8">
        <v>3</v>
      </c>
      <c r="D282" s="8" t="s">
        <v>541</v>
      </c>
      <c r="E282" s="8" t="s">
        <v>11</v>
      </c>
      <c r="F282" s="8">
        <v>65</v>
      </c>
      <c r="G282" s="8">
        <v>0</v>
      </c>
      <c r="H282" s="8">
        <v>0</v>
      </c>
      <c r="I282" s="8" t="s">
        <v>542</v>
      </c>
      <c r="J282" s="9">
        <v>7.75</v>
      </c>
    </row>
    <row r="283" spans="1:10" x14ac:dyDescent="0.3">
      <c r="A283" s="10">
        <v>282</v>
      </c>
      <c r="B283" s="11">
        <v>0</v>
      </c>
      <c r="C283" s="11">
        <v>3</v>
      </c>
      <c r="D283" s="11" t="s">
        <v>543</v>
      </c>
      <c r="E283" s="11" t="s">
        <v>11</v>
      </c>
      <c r="F283" s="11">
        <v>28</v>
      </c>
      <c r="G283" s="11">
        <v>0</v>
      </c>
      <c r="H283" s="11">
        <v>0</v>
      </c>
      <c r="I283" s="11" t="s">
        <v>544</v>
      </c>
      <c r="J283" s="12">
        <v>7.8541999999999996</v>
      </c>
    </row>
    <row r="284" spans="1:10" x14ac:dyDescent="0.3">
      <c r="A284" s="7">
        <v>283</v>
      </c>
      <c r="B284" s="8">
        <v>0</v>
      </c>
      <c r="C284" s="8">
        <v>3</v>
      </c>
      <c r="D284" s="8" t="s">
        <v>545</v>
      </c>
      <c r="E284" s="8" t="s">
        <v>11</v>
      </c>
      <c r="F284" s="8">
        <v>16</v>
      </c>
      <c r="G284" s="8">
        <v>0</v>
      </c>
      <c r="H284" s="8">
        <v>0</v>
      </c>
      <c r="I284" s="8" t="s">
        <v>546</v>
      </c>
      <c r="J284" s="9">
        <v>9.5</v>
      </c>
    </row>
    <row r="285" spans="1:10" x14ac:dyDescent="0.3">
      <c r="A285" s="10">
        <v>284</v>
      </c>
      <c r="B285" s="11">
        <v>1</v>
      </c>
      <c r="C285" s="11">
        <v>3</v>
      </c>
      <c r="D285" s="11" t="s">
        <v>547</v>
      </c>
      <c r="E285" s="11" t="s">
        <v>11</v>
      </c>
      <c r="F285" s="11">
        <v>19</v>
      </c>
      <c r="G285" s="11">
        <v>0</v>
      </c>
      <c r="H285" s="11">
        <v>0</v>
      </c>
      <c r="I285" s="11" t="s">
        <v>548</v>
      </c>
      <c r="J285" s="12">
        <v>8.0500000000000007</v>
      </c>
    </row>
    <row r="286" spans="1:10" x14ac:dyDescent="0.3">
      <c r="A286" s="7">
        <v>285</v>
      </c>
      <c r="B286" s="8">
        <v>0</v>
      </c>
      <c r="C286" s="8">
        <v>1</v>
      </c>
      <c r="D286" s="8" t="s">
        <v>549</v>
      </c>
      <c r="E286" s="8" t="s">
        <v>11</v>
      </c>
      <c r="F286" s="8"/>
      <c r="G286" s="8">
        <v>0</v>
      </c>
      <c r="H286" s="8">
        <v>0</v>
      </c>
      <c r="I286" s="8" t="s">
        <v>550</v>
      </c>
      <c r="J286" s="9">
        <v>26</v>
      </c>
    </row>
    <row r="287" spans="1:10" x14ac:dyDescent="0.3">
      <c r="A287" s="10">
        <v>286</v>
      </c>
      <c r="B287" s="11">
        <v>0</v>
      </c>
      <c r="C287" s="11">
        <v>3</v>
      </c>
      <c r="D287" s="11" t="s">
        <v>551</v>
      </c>
      <c r="E287" s="11" t="s">
        <v>11</v>
      </c>
      <c r="F287" s="11">
        <v>33</v>
      </c>
      <c r="G287" s="11">
        <v>0</v>
      </c>
      <c r="H287" s="11">
        <v>0</v>
      </c>
      <c r="I287" s="11" t="s">
        <v>552</v>
      </c>
      <c r="J287" s="12">
        <v>8.6624999999999996</v>
      </c>
    </row>
    <row r="288" spans="1:10" x14ac:dyDescent="0.3">
      <c r="A288" s="7">
        <v>287</v>
      </c>
      <c r="B288" s="8">
        <v>1</v>
      </c>
      <c r="C288" s="8">
        <v>3</v>
      </c>
      <c r="D288" s="8" t="s">
        <v>553</v>
      </c>
      <c r="E288" s="8" t="s">
        <v>11</v>
      </c>
      <c r="F288" s="8">
        <v>30</v>
      </c>
      <c r="G288" s="8">
        <v>0</v>
      </c>
      <c r="H288" s="8">
        <v>0</v>
      </c>
      <c r="I288" s="8" t="s">
        <v>554</v>
      </c>
      <c r="J288" s="9">
        <v>9.5</v>
      </c>
    </row>
    <row r="289" spans="1:10" x14ac:dyDescent="0.3">
      <c r="A289" s="10">
        <v>288</v>
      </c>
      <c r="B289" s="11">
        <v>0</v>
      </c>
      <c r="C289" s="11">
        <v>3</v>
      </c>
      <c r="D289" s="11" t="s">
        <v>555</v>
      </c>
      <c r="E289" s="11" t="s">
        <v>11</v>
      </c>
      <c r="F289" s="11">
        <v>22</v>
      </c>
      <c r="G289" s="11">
        <v>0</v>
      </c>
      <c r="H289" s="11">
        <v>0</v>
      </c>
      <c r="I289" s="11" t="s">
        <v>556</v>
      </c>
      <c r="J289" s="12">
        <v>7.8958000000000004</v>
      </c>
    </row>
    <row r="290" spans="1:10" x14ac:dyDescent="0.3">
      <c r="A290" s="7">
        <v>289</v>
      </c>
      <c r="B290" s="8">
        <v>1</v>
      </c>
      <c r="C290" s="8">
        <v>2</v>
      </c>
      <c r="D290" s="8" t="s">
        <v>557</v>
      </c>
      <c r="E290" s="8" t="s">
        <v>11</v>
      </c>
      <c r="F290" s="8">
        <v>42</v>
      </c>
      <c r="G290" s="8">
        <v>0</v>
      </c>
      <c r="H290" s="8">
        <v>0</v>
      </c>
      <c r="I290" s="8" t="s">
        <v>558</v>
      </c>
      <c r="J290" s="9">
        <v>13</v>
      </c>
    </row>
    <row r="291" spans="1:10" x14ac:dyDescent="0.3">
      <c r="A291" s="10">
        <v>290</v>
      </c>
      <c r="B291" s="11">
        <v>1</v>
      </c>
      <c r="C291" s="11">
        <v>3</v>
      </c>
      <c r="D291" s="11" t="s">
        <v>559</v>
      </c>
      <c r="E291" s="11" t="s">
        <v>14</v>
      </c>
      <c r="F291" s="11">
        <v>22</v>
      </c>
      <c r="G291" s="11">
        <v>0</v>
      </c>
      <c r="H291" s="11">
        <v>0</v>
      </c>
      <c r="I291" s="11" t="s">
        <v>560</v>
      </c>
      <c r="J291" s="12">
        <v>7.75</v>
      </c>
    </row>
    <row r="292" spans="1:10" x14ac:dyDescent="0.3">
      <c r="A292" s="7">
        <v>291</v>
      </c>
      <c r="B292" s="8">
        <v>1</v>
      </c>
      <c r="C292" s="8">
        <v>1</v>
      </c>
      <c r="D292" s="8" t="s">
        <v>561</v>
      </c>
      <c r="E292" s="8" t="s">
        <v>14</v>
      </c>
      <c r="F292" s="8">
        <v>26</v>
      </c>
      <c r="G292" s="8">
        <v>0</v>
      </c>
      <c r="H292" s="8">
        <v>0</v>
      </c>
      <c r="I292" s="8" t="s">
        <v>562</v>
      </c>
      <c r="J292" s="9">
        <v>78.849999999999994</v>
      </c>
    </row>
    <row r="293" spans="1:10" x14ac:dyDescent="0.3">
      <c r="A293" s="10">
        <v>292</v>
      </c>
      <c r="B293" s="11">
        <v>1</v>
      </c>
      <c r="C293" s="11">
        <v>1</v>
      </c>
      <c r="D293" s="11" t="s">
        <v>563</v>
      </c>
      <c r="E293" s="11" t="s">
        <v>14</v>
      </c>
      <c r="F293" s="11">
        <v>19</v>
      </c>
      <c r="G293" s="11">
        <v>1</v>
      </c>
      <c r="H293" s="11">
        <v>0</v>
      </c>
      <c r="I293" s="11" t="s">
        <v>564</v>
      </c>
      <c r="J293" s="12">
        <v>91.0792</v>
      </c>
    </row>
    <row r="294" spans="1:10" x14ac:dyDescent="0.3">
      <c r="A294" s="7">
        <v>293</v>
      </c>
      <c r="B294" s="8">
        <v>0</v>
      </c>
      <c r="C294" s="8">
        <v>2</v>
      </c>
      <c r="D294" s="8" t="s">
        <v>565</v>
      </c>
      <c r="E294" s="8" t="s">
        <v>11</v>
      </c>
      <c r="F294" s="8">
        <v>36</v>
      </c>
      <c r="G294" s="8">
        <v>0</v>
      </c>
      <c r="H294" s="8">
        <v>0</v>
      </c>
      <c r="I294" s="8" t="s">
        <v>566</v>
      </c>
      <c r="J294" s="9">
        <v>12.875</v>
      </c>
    </row>
    <row r="295" spans="1:10" x14ac:dyDescent="0.3">
      <c r="A295" s="10">
        <v>294</v>
      </c>
      <c r="B295" s="11">
        <v>0</v>
      </c>
      <c r="C295" s="11">
        <v>3</v>
      </c>
      <c r="D295" s="11" t="s">
        <v>567</v>
      </c>
      <c r="E295" s="11" t="s">
        <v>14</v>
      </c>
      <c r="F295" s="11">
        <v>24</v>
      </c>
      <c r="G295" s="11">
        <v>0</v>
      </c>
      <c r="H295" s="11">
        <v>0</v>
      </c>
      <c r="I295" s="11" t="s">
        <v>568</v>
      </c>
      <c r="J295" s="12">
        <v>8.85</v>
      </c>
    </row>
    <row r="296" spans="1:10" x14ac:dyDescent="0.3">
      <c r="A296" s="7">
        <v>295</v>
      </c>
      <c r="B296" s="8">
        <v>0</v>
      </c>
      <c r="C296" s="8">
        <v>3</v>
      </c>
      <c r="D296" s="8" t="s">
        <v>569</v>
      </c>
      <c r="E296" s="8" t="s">
        <v>11</v>
      </c>
      <c r="F296" s="8">
        <v>24</v>
      </c>
      <c r="G296" s="8">
        <v>0</v>
      </c>
      <c r="H296" s="8">
        <v>0</v>
      </c>
      <c r="I296" s="8" t="s">
        <v>570</v>
      </c>
      <c r="J296" s="9">
        <v>7.8958000000000004</v>
      </c>
    </row>
    <row r="297" spans="1:10" x14ac:dyDescent="0.3">
      <c r="A297" s="10">
        <v>296</v>
      </c>
      <c r="B297" s="11">
        <v>0</v>
      </c>
      <c r="C297" s="11">
        <v>1</v>
      </c>
      <c r="D297" s="11" t="s">
        <v>571</v>
      </c>
      <c r="E297" s="11" t="s">
        <v>11</v>
      </c>
      <c r="F297" s="11"/>
      <c r="G297" s="11">
        <v>0</v>
      </c>
      <c r="H297" s="11">
        <v>0</v>
      </c>
      <c r="I297" s="11" t="s">
        <v>572</v>
      </c>
      <c r="J297" s="12">
        <v>27.720800000000001</v>
      </c>
    </row>
    <row r="298" spans="1:10" x14ac:dyDescent="0.3">
      <c r="A298" s="7">
        <v>297</v>
      </c>
      <c r="B298" s="8">
        <v>0</v>
      </c>
      <c r="C298" s="8">
        <v>3</v>
      </c>
      <c r="D298" s="8" t="s">
        <v>573</v>
      </c>
      <c r="E298" s="8" t="s">
        <v>11</v>
      </c>
      <c r="F298" s="8">
        <v>23.5</v>
      </c>
      <c r="G298" s="8">
        <v>0</v>
      </c>
      <c r="H298" s="8">
        <v>0</v>
      </c>
      <c r="I298" s="8" t="s">
        <v>574</v>
      </c>
      <c r="J298" s="9">
        <v>7.2291999999999996</v>
      </c>
    </row>
    <row r="299" spans="1:10" x14ac:dyDescent="0.3">
      <c r="A299" s="10">
        <v>298</v>
      </c>
      <c r="B299" s="11">
        <v>0</v>
      </c>
      <c r="C299" s="11">
        <v>1</v>
      </c>
      <c r="D299" s="11" t="s">
        <v>575</v>
      </c>
      <c r="E299" s="11" t="s">
        <v>14</v>
      </c>
      <c r="F299" s="11">
        <v>2</v>
      </c>
      <c r="G299" s="11">
        <v>1</v>
      </c>
      <c r="H299" s="11">
        <v>2</v>
      </c>
      <c r="I299" s="11" t="s">
        <v>576</v>
      </c>
      <c r="J299" s="12">
        <v>151.55000000000001</v>
      </c>
    </row>
    <row r="300" spans="1:10" x14ac:dyDescent="0.3">
      <c r="A300" s="7">
        <v>299</v>
      </c>
      <c r="B300" s="8">
        <v>1</v>
      </c>
      <c r="C300" s="8">
        <v>1</v>
      </c>
      <c r="D300" s="8" t="s">
        <v>577</v>
      </c>
      <c r="E300" s="8" t="s">
        <v>11</v>
      </c>
      <c r="F300" s="8"/>
      <c r="G300" s="8">
        <v>0</v>
      </c>
      <c r="H300" s="8">
        <v>0</v>
      </c>
      <c r="I300" s="8" t="s">
        <v>578</v>
      </c>
      <c r="J300" s="9">
        <v>30.5</v>
      </c>
    </row>
    <row r="301" spans="1:10" x14ac:dyDescent="0.3">
      <c r="A301" s="10">
        <v>300</v>
      </c>
      <c r="B301" s="11">
        <v>1</v>
      </c>
      <c r="C301" s="11">
        <v>1</v>
      </c>
      <c r="D301" s="11" t="s">
        <v>579</v>
      </c>
      <c r="E301" s="11" t="s">
        <v>14</v>
      </c>
      <c r="F301" s="11">
        <v>50</v>
      </c>
      <c r="G301" s="11">
        <v>0</v>
      </c>
      <c r="H301" s="11">
        <v>1</v>
      </c>
      <c r="I301" s="11" t="s">
        <v>245</v>
      </c>
      <c r="J301" s="12">
        <v>247.52080000000001</v>
      </c>
    </row>
    <row r="302" spans="1:10" x14ac:dyDescent="0.3">
      <c r="A302" s="7">
        <v>301</v>
      </c>
      <c r="B302" s="8">
        <v>1</v>
      </c>
      <c r="C302" s="8">
        <v>3</v>
      </c>
      <c r="D302" s="8" t="s">
        <v>580</v>
      </c>
      <c r="E302" s="8" t="s">
        <v>14</v>
      </c>
      <c r="F302" s="8"/>
      <c r="G302" s="8">
        <v>0</v>
      </c>
      <c r="H302" s="8">
        <v>0</v>
      </c>
      <c r="I302" s="8" t="s">
        <v>581</v>
      </c>
      <c r="J302" s="9">
        <v>7.75</v>
      </c>
    </row>
    <row r="303" spans="1:10" x14ac:dyDescent="0.3">
      <c r="A303" s="10">
        <v>302</v>
      </c>
      <c r="B303" s="11">
        <v>1</v>
      </c>
      <c r="C303" s="11">
        <v>3</v>
      </c>
      <c r="D303" s="11" t="s">
        <v>582</v>
      </c>
      <c r="E303" s="11" t="s">
        <v>11</v>
      </c>
      <c r="F303" s="11"/>
      <c r="G303" s="11">
        <v>2</v>
      </c>
      <c r="H303" s="11">
        <v>0</v>
      </c>
      <c r="I303" s="11" t="s">
        <v>583</v>
      </c>
      <c r="J303" s="12">
        <v>23.25</v>
      </c>
    </row>
    <row r="304" spans="1:10" x14ac:dyDescent="0.3">
      <c r="A304" s="7">
        <v>303</v>
      </c>
      <c r="B304" s="8">
        <v>0</v>
      </c>
      <c r="C304" s="8">
        <v>3</v>
      </c>
      <c r="D304" s="8" t="s">
        <v>584</v>
      </c>
      <c r="E304" s="8" t="s">
        <v>11</v>
      </c>
      <c r="F304" s="8">
        <v>19</v>
      </c>
      <c r="G304" s="8">
        <v>0</v>
      </c>
      <c r="H304" s="8">
        <v>0</v>
      </c>
      <c r="I304" s="8" t="s">
        <v>355</v>
      </c>
      <c r="J304" s="9">
        <v>0</v>
      </c>
    </row>
    <row r="305" spans="1:10" x14ac:dyDescent="0.3">
      <c r="A305" s="10">
        <v>304</v>
      </c>
      <c r="B305" s="11">
        <v>1</v>
      </c>
      <c r="C305" s="11">
        <v>2</v>
      </c>
      <c r="D305" s="11" t="s">
        <v>585</v>
      </c>
      <c r="E305" s="11" t="s">
        <v>14</v>
      </c>
      <c r="F305" s="11"/>
      <c r="G305" s="11">
        <v>0</v>
      </c>
      <c r="H305" s="11">
        <v>0</v>
      </c>
      <c r="I305" s="11" t="s">
        <v>586</v>
      </c>
      <c r="J305" s="12">
        <v>12.35</v>
      </c>
    </row>
    <row r="306" spans="1:10" x14ac:dyDescent="0.3">
      <c r="A306" s="7">
        <v>305</v>
      </c>
      <c r="B306" s="8">
        <v>0</v>
      </c>
      <c r="C306" s="8">
        <v>3</v>
      </c>
      <c r="D306" s="8" t="s">
        <v>587</v>
      </c>
      <c r="E306" s="8" t="s">
        <v>11</v>
      </c>
      <c r="F306" s="8"/>
      <c r="G306" s="8">
        <v>0</v>
      </c>
      <c r="H306" s="8">
        <v>0</v>
      </c>
      <c r="I306" s="8" t="s">
        <v>588</v>
      </c>
      <c r="J306" s="9">
        <v>8.0500000000000007</v>
      </c>
    </row>
    <row r="307" spans="1:10" x14ac:dyDescent="0.3">
      <c r="A307" s="10">
        <v>306</v>
      </c>
      <c r="B307" s="11">
        <v>1</v>
      </c>
      <c r="C307" s="11">
        <v>1</v>
      </c>
      <c r="D307" s="11" t="s">
        <v>589</v>
      </c>
      <c r="E307" s="11" t="s">
        <v>11</v>
      </c>
      <c r="F307" s="11">
        <v>0.92</v>
      </c>
      <c r="G307" s="11">
        <v>1</v>
      </c>
      <c r="H307" s="11">
        <v>2</v>
      </c>
      <c r="I307" s="11" t="s">
        <v>576</v>
      </c>
      <c r="J307" s="12">
        <v>151.55000000000001</v>
      </c>
    </row>
    <row r="308" spans="1:10" x14ac:dyDescent="0.3">
      <c r="A308" s="7">
        <v>307</v>
      </c>
      <c r="B308" s="8">
        <v>1</v>
      </c>
      <c r="C308" s="8">
        <v>1</v>
      </c>
      <c r="D308" s="8" t="s">
        <v>590</v>
      </c>
      <c r="E308" s="8" t="s">
        <v>14</v>
      </c>
      <c r="F308" s="8"/>
      <c r="G308" s="8">
        <v>0</v>
      </c>
      <c r="H308" s="8">
        <v>0</v>
      </c>
      <c r="I308" s="8" t="s">
        <v>591</v>
      </c>
      <c r="J308" s="9">
        <v>110.88330000000001</v>
      </c>
    </row>
    <row r="309" spans="1:10" x14ac:dyDescent="0.3">
      <c r="A309" s="10">
        <v>308</v>
      </c>
      <c r="B309" s="11">
        <v>1</v>
      </c>
      <c r="C309" s="11">
        <v>1</v>
      </c>
      <c r="D309" s="11" t="s">
        <v>592</v>
      </c>
      <c r="E309" s="11" t="s">
        <v>14</v>
      </c>
      <c r="F309" s="11">
        <v>17</v>
      </c>
      <c r="G309" s="11">
        <v>1</v>
      </c>
      <c r="H309" s="11">
        <v>0</v>
      </c>
      <c r="I309" s="11" t="s">
        <v>593</v>
      </c>
      <c r="J309" s="12">
        <v>108.9</v>
      </c>
    </row>
    <row r="310" spans="1:10" x14ac:dyDescent="0.3">
      <c r="A310" s="7">
        <v>309</v>
      </c>
      <c r="B310" s="8">
        <v>0</v>
      </c>
      <c r="C310" s="8">
        <v>2</v>
      </c>
      <c r="D310" s="8" t="s">
        <v>594</v>
      </c>
      <c r="E310" s="8" t="s">
        <v>11</v>
      </c>
      <c r="F310" s="8">
        <v>30</v>
      </c>
      <c r="G310" s="8">
        <v>1</v>
      </c>
      <c r="H310" s="8">
        <v>0</v>
      </c>
      <c r="I310" s="8" t="s">
        <v>595</v>
      </c>
      <c r="J310" s="9">
        <v>24</v>
      </c>
    </row>
    <row r="311" spans="1:10" x14ac:dyDescent="0.3">
      <c r="A311" s="10">
        <v>310</v>
      </c>
      <c r="B311" s="11">
        <v>1</v>
      </c>
      <c r="C311" s="11">
        <v>1</v>
      </c>
      <c r="D311" s="11" t="s">
        <v>596</v>
      </c>
      <c r="E311" s="11" t="s">
        <v>14</v>
      </c>
      <c r="F311" s="11">
        <v>30</v>
      </c>
      <c r="G311" s="11">
        <v>0</v>
      </c>
      <c r="H311" s="11">
        <v>0</v>
      </c>
      <c r="I311" s="11" t="s">
        <v>597</v>
      </c>
      <c r="J311" s="12">
        <v>56.929200000000002</v>
      </c>
    </row>
    <row r="312" spans="1:10" x14ac:dyDescent="0.3">
      <c r="A312" s="7">
        <v>311</v>
      </c>
      <c r="B312" s="8">
        <v>1</v>
      </c>
      <c r="C312" s="8">
        <v>1</v>
      </c>
      <c r="D312" s="8" t="s">
        <v>598</v>
      </c>
      <c r="E312" s="8" t="s">
        <v>14</v>
      </c>
      <c r="F312" s="8">
        <v>24</v>
      </c>
      <c r="G312" s="8">
        <v>0</v>
      </c>
      <c r="H312" s="8">
        <v>0</v>
      </c>
      <c r="I312" s="8" t="s">
        <v>599</v>
      </c>
      <c r="J312" s="9">
        <v>83.158299999999997</v>
      </c>
    </row>
    <row r="313" spans="1:10" x14ac:dyDescent="0.3">
      <c r="A313" s="10">
        <v>312</v>
      </c>
      <c r="B313" s="11">
        <v>1</v>
      </c>
      <c r="C313" s="11">
        <v>1</v>
      </c>
      <c r="D313" s="11" t="s">
        <v>600</v>
      </c>
      <c r="E313" s="11" t="s">
        <v>14</v>
      </c>
      <c r="F313" s="11">
        <v>18</v>
      </c>
      <c r="G313" s="11">
        <v>2</v>
      </c>
      <c r="H313" s="11">
        <v>2</v>
      </c>
      <c r="I313" s="11" t="s">
        <v>601</v>
      </c>
      <c r="J313" s="12">
        <v>262.375</v>
      </c>
    </row>
    <row r="314" spans="1:10" x14ac:dyDescent="0.3">
      <c r="A314" s="7">
        <v>313</v>
      </c>
      <c r="B314" s="8">
        <v>0</v>
      </c>
      <c r="C314" s="8">
        <v>2</v>
      </c>
      <c r="D314" s="8" t="s">
        <v>602</v>
      </c>
      <c r="E314" s="8" t="s">
        <v>14</v>
      </c>
      <c r="F314" s="8">
        <v>26</v>
      </c>
      <c r="G314" s="8">
        <v>1</v>
      </c>
      <c r="H314" s="8">
        <v>1</v>
      </c>
      <c r="I314" s="8" t="s">
        <v>603</v>
      </c>
      <c r="J314" s="9">
        <v>26</v>
      </c>
    </row>
    <row r="315" spans="1:10" x14ac:dyDescent="0.3">
      <c r="A315" s="10">
        <v>314</v>
      </c>
      <c r="B315" s="11">
        <v>0</v>
      </c>
      <c r="C315" s="11">
        <v>3</v>
      </c>
      <c r="D315" s="11" t="s">
        <v>604</v>
      </c>
      <c r="E315" s="11" t="s">
        <v>11</v>
      </c>
      <c r="F315" s="11">
        <v>28</v>
      </c>
      <c r="G315" s="11">
        <v>0</v>
      </c>
      <c r="H315" s="11">
        <v>0</v>
      </c>
      <c r="I315" s="11" t="s">
        <v>605</v>
      </c>
      <c r="J315" s="12">
        <v>7.8958000000000004</v>
      </c>
    </row>
    <row r="316" spans="1:10" x14ac:dyDescent="0.3">
      <c r="A316" s="7">
        <v>315</v>
      </c>
      <c r="B316" s="8">
        <v>0</v>
      </c>
      <c r="C316" s="8">
        <v>2</v>
      </c>
      <c r="D316" s="8" t="s">
        <v>606</v>
      </c>
      <c r="E316" s="8" t="s">
        <v>11</v>
      </c>
      <c r="F316" s="8">
        <v>43</v>
      </c>
      <c r="G316" s="8">
        <v>1</v>
      </c>
      <c r="H316" s="8">
        <v>1</v>
      </c>
      <c r="I316" s="8" t="s">
        <v>607</v>
      </c>
      <c r="J316" s="9">
        <v>26.25</v>
      </c>
    </row>
    <row r="317" spans="1:10" x14ac:dyDescent="0.3">
      <c r="A317" s="10">
        <v>316</v>
      </c>
      <c r="B317" s="11">
        <v>1</v>
      </c>
      <c r="C317" s="11">
        <v>3</v>
      </c>
      <c r="D317" s="11" t="s">
        <v>608</v>
      </c>
      <c r="E317" s="11" t="s">
        <v>14</v>
      </c>
      <c r="F317" s="11">
        <v>26</v>
      </c>
      <c r="G317" s="11">
        <v>0</v>
      </c>
      <c r="H317" s="11">
        <v>0</v>
      </c>
      <c r="I317" s="11" t="s">
        <v>609</v>
      </c>
      <c r="J317" s="12">
        <v>7.8541999999999996</v>
      </c>
    </row>
    <row r="318" spans="1:10" x14ac:dyDescent="0.3">
      <c r="A318" s="7">
        <v>317</v>
      </c>
      <c r="B318" s="8">
        <v>1</v>
      </c>
      <c r="C318" s="8">
        <v>2</v>
      </c>
      <c r="D318" s="8" t="s">
        <v>610</v>
      </c>
      <c r="E318" s="8" t="s">
        <v>14</v>
      </c>
      <c r="F318" s="8">
        <v>24</v>
      </c>
      <c r="G318" s="8">
        <v>1</v>
      </c>
      <c r="H318" s="8">
        <v>0</v>
      </c>
      <c r="I318" s="8" t="s">
        <v>208</v>
      </c>
      <c r="J318" s="9">
        <v>26</v>
      </c>
    </row>
    <row r="319" spans="1:10" x14ac:dyDescent="0.3">
      <c r="A319" s="10">
        <v>318</v>
      </c>
      <c r="B319" s="11">
        <v>0</v>
      </c>
      <c r="C319" s="11">
        <v>2</v>
      </c>
      <c r="D319" s="11" t="s">
        <v>611</v>
      </c>
      <c r="E319" s="11" t="s">
        <v>11</v>
      </c>
      <c r="F319" s="11">
        <v>54</v>
      </c>
      <c r="G319" s="11">
        <v>0</v>
      </c>
      <c r="H319" s="11">
        <v>0</v>
      </c>
      <c r="I319" s="11" t="s">
        <v>612</v>
      </c>
      <c r="J319" s="12">
        <v>14</v>
      </c>
    </row>
    <row r="320" spans="1:10" x14ac:dyDescent="0.3">
      <c r="A320" s="7">
        <v>319</v>
      </c>
      <c r="B320" s="8">
        <v>1</v>
      </c>
      <c r="C320" s="8">
        <v>1</v>
      </c>
      <c r="D320" s="8" t="s">
        <v>613</v>
      </c>
      <c r="E320" s="8" t="s">
        <v>14</v>
      </c>
      <c r="F320" s="8">
        <v>31</v>
      </c>
      <c r="G320" s="8">
        <v>0</v>
      </c>
      <c r="H320" s="8">
        <v>2</v>
      </c>
      <c r="I320" s="8" t="s">
        <v>614</v>
      </c>
      <c r="J320" s="9">
        <v>164.86670000000001</v>
      </c>
    </row>
    <row r="321" spans="1:10" x14ac:dyDescent="0.3">
      <c r="A321" s="10">
        <v>320</v>
      </c>
      <c r="B321" s="11">
        <v>1</v>
      </c>
      <c r="C321" s="11">
        <v>1</v>
      </c>
      <c r="D321" s="11" t="s">
        <v>615</v>
      </c>
      <c r="E321" s="11" t="s">
        <v>14</v>
      </c>
      <c r="F321" s="11">
        <v>40</v>
      </c>
      <c r="G321" s="11">
        <v>1</v>
      </c>
      <c r="H321" s="11">
        <v>1</v>
      </c>
      <c r="I321" s="11" t="s">
        <v>616</v>
      </c>
      <c r="J321" s="12">
        <v>134.5</v>
      </c>
    </row>
    <row r="322" spans="1:10" x14ac:dyDescent="0.3">
      <c r="A322" s="7">
        <v>321</v>
      </c>
      <c r="B322" s="8">
        <v>0</v>
      </c>
      <c r="C322" s="8">
        <v>3</v>
      </c>
      <c r="D322" s="8" t="s">
        <v>617</v>
      </c>
      <c r="E322" s="8" t="s">
        <v>11</v>
      </c>
      <c r="F322" s="8">
        <v>22</v>
      </c>
      <c r="G322" s="8">
        <v>0</v>
      </c>
      <c r="H322" s="8">
        <v>0</v>
      </c>
      <c r="I322" s="8" t="s">
        <v>618</v>
      </c>
      <c r="J322" s="9">
        <v>7.25</v>
      </c>
    </row>
    <row r="323" spans="1:10" x14ac:dyDescent="0.3">
      <c r="A323" s="10">
        <v>322</v>
      </c>
      <c r="B323" s="11">
        <v>0</v>
      </c>
      <c r="C323" s="11">
        <v>3</v>
      </c>
      <c r="D323" s="11" t="s">
        <v>619</v>
      </c>
      <c r="E323" s="11" t="s">
        <v>11</v>
      </c>
      <c r="F323" s="11">
        <v>27</v>
      </c>
      <c r="G323" s="11">
        <v>0</v>
      </c>
      <c r="H323" s="11">
        <v>0</v>
      </c>
      <c r="I323" s="11" t="s">
        <v>620</v>
      </c>
      <c r="J323" s="12">
        <v>7.8958000000000004</v>
      </c>
    </row>
    <row r="324" spans="1:10" x14ac:dyDescent="0.3">
      <c r="A324" s="7">
        <v>323</v>
      </c>
      <c r="B324" s="8">
        <v>1</v>
      </c>
      <c r="C324" s="8">
        <v>2</v>
      </c>
      <c r="D324" s="8" t="s">
        <v>621</v>
      </c>
      <c r="E324" s="8" t="s">
        <v>14</v>
      </c>
      <c r="F324" s="8">
        <v>30</v>
      </c>
      <c r="G324" s="8">
        <v>0</v>
      </c>
      <c r="H324" s="8">
        <v>0</v>
      </c>
      <c r="I324" s="8" t="s">
        <v>622</v>
      </c>
      <c r="J324" s="9">
        <v>12.35</v>
      </c>
    </row>
    <row r="325" spans="1:10" x14ac:dyDescent="0.3">
      <c r="A325" s="10">
        <v>324</v>
      </c>
      <c r="B325" s="11">
        <v>1</v>
      </c>
      <c r="C325" s="11">
        <v>2</v>
      </c>
      <c r="D325" s="11" t="s">
        <v>623</v>
      </c>
      <c r="E325" s="11" t="s">
        <v>14</v>
      </c>
      <c r="F325" s="11">
        <v>22</v>
      </c>
      <c r="G325" s="11">
        <v>1</v>
      </c>
      <c r="H325" s="11">
        <v>1</v>
      </c>
      <c r="I325" s="11" t="s">
        <v>167</v>
      </c>
      <c r="J325" s="12">
        <v>29</v>
      </c>
    </row>
    <row r="326" spans="1:10" x14ac:dyDescent="0.3">
      <c r="A326" s="7">
        <v>325</v>
      </c>
      <c r="B326" s="8">
        <v>0</v>
      </c>
      <c r="C326" s="8">
        <v>3</v>
      </c>
      <c r="D326" s="8" t="s">
        <v>624</v>
      </c>
      <c r="E326" s="8" t="s">
        <v>11</v>
      </c>
      <c r="F326" s="8"/>
      <c r="G326" s="8">
        <v>8</v>
      </c>
      <c r="H326" s="8">
        <v>2</v>
      </c>
      <c r="I326" s="8" t="s">
        <v>320</v>
      </c>
      <c r="J326" s="9">
        <v>69.55</v>
      </c>
    </row>
    <row r="327" spans="1:10" x14ac:dyDescent="0.3">
      <c r="A327" s="10">
        <v>326</v>
      </c>
      <c r="B327" s="11">
        <v>1</v>
      </c>
      <c r="C327" s="11">
        <v>1</v>
      </c>
      <c r="D327" s="11" t="s">
        <v>625</v>
      </c>
      <c r="E327" s="11" t="s">
        <v>14</v>
      </c>
      <c r="F327" s="11">
        <v>36</v>
      </c>
      <c r="G327" s="11">
        <v>0</v>
      </c>
      <c r="H327" s="11">
        <v>0</v>
      </c>
      <c r="I327" s="11" t="s">
        <v>522</v>
      </c>
      <c r="J327" s="12">
        <v>135.63329999999999</v>
      </c>
    </row>
    <row r="328" spans="1:10" x14ac:dyDescent="0.3">
      <c r="A328" s="7">
        <v>327</v>
      </c>
      <c r="B328" s="8">
        <v>0</v>
      </c>
      <c r="C328" s="8">
        <v>3</v>
      </c>
      <c r="D328" s="8" t="s">
        <v>626</v>
      </c>
      <c r="E328" s="8" t="s">
        <v>11</v>
      </c>
      <c r="F328" s="8">
        <v>61</v>
      </c>
      <c r="G328" s="8">
        <v>0</v>
      </c>
      <c r="H328" s="8">
        <v>0</v>
      </c>
      <c r="I328" s="8" t="s">
        <v>627</v>
      </c>
      <c r="J328" s="9">
        <v>6.2374999999999998</v>
      </c>
    </row>
    <row r="329" spans="1:10" x14ac:dyDescent="0.3">
      <c r="A329" s="10">
        <v>328</v>
      </c>
      <c r="B329" s="11">
        <v>1</v>
      </c>
      <c r="C329" s="11">
        <v>2</v>
      </c>
      <c r="D329" s="11" t="s">
        <v>628</v>
      </c>
      <c r="E329" s="11" t="s">
        <v>14</v>
      </c>
      <c r="F329" s="11">
        <v>36</v>
      </c>
      <c r="G329" s="11">
        <v>0</v>
      </c>
      <c r="H329" s="11">
        <v>0</v>
      </c>
      <c r="I329" s="11" t="s">
        <v>629</v>
      </c>
      <c r="J329" s="12">
        <v>13</v>
      </c>
    </row>
    <row r="330" spans="1:10" x14ac:dyDescent="0.3">
      <c r="A330" s="7">
        <v>329</v>
      </c>
      <c r="B330" s="8">
        <v>1</v>
      </c>
      <c r="C330" s="8">
        <v>3</v>
      </c>
      <c r="D330" s="8" t="s">
        <v>630</v>
      </c>
      <c r="E330" s="8" t="s">
        <v>14</v>
      </c>
      <c r="F330" s="8">
        <v>31</v>
      </c>
      <c r="G330" s="8">
        <v>1</v>
      </c>
      <c r="H330" s="8">
        <v>1</v>
      </c>
      <c r="I330" s="8" t="s">
        <v>331</v>
      </c>
      <c r="J330" s="9">
        <v>20.524999999999999</v>
      </c>
    </row>
    <row r="331" spans="1:10" x14ac:dyDescent="0.3">
      <c r="A331" s="10">
        <v>330</v>
      </c>
      <c r="B331" s="11">
        <v>1</v>
      </c>
      <c r="C331" s="11">
        <v>1</v>
      </c>
      <c r="D331" s="11" t="s">
        <v>631</v>
      </c>
      <c r="E331" s="11" t="s">
        <v>14</v>
      </c>
      <c r="F331" s="11">
        <v>16</v>
      </c>
      <c r="G331" s="11">
        <v>0</v>
      </c>
      <c r="H331" s="11">
        <v>1</v>
      </c>
      <c r="I331" s="11" t="s">
        <v>632</v>
      </c>
      <c r="J331" s="12">
        <v>57.979199999999999</v>
      </c>
    </row>
    <row r="332" spans="1:10" x14ac:dyDescent="0.3">
      <c r="A332" s="7">
        <v>331</v>
      </c>
      <c r="B332" s="8">
        <v>1</v>
      </c>
      <c r="C332" s="8">
        <v>3</v>
      </c>
      <c r="D332" s="8" t="s">
        <v>633</v>
      </c>
      <c r="E332" s="8" t="s">
        <v>14</v>
      </c>
      <c r="F332" s="8"/>
      <c r="G332" s="8">
        <v>2</v>
      </c>
      <c r="H332" s="8">
        <v>0</v>
      </c>
      <c r="I332" s="8" t="s">
        <v>583</v>
      </c>
      <c r="J332" s="9">
        <v>23.25</v>
      </c>
    </row>
    <row r="333" spans="1:10" x14ac:dyDescent="0.3">
      <c r="A333" s="10">
        <v>332</v>
      </c>
      <c r="B333" s="11">
        <v>0</v>
      </c>
      <c r="C333" s="11">
        <v>1</v>
      </c>
      <c r="D333" s="11" t="s">
        <v>634</v>
      </c>
      <c r="E333" s="11" t="s">
        <v>11</v>
      </c>
      <c r="F333" s="11">
        <v>45.5</v>
      </c>
      <c r="G333" s="11">
        <v>0</v>
      </c>
      <c r="H333" s="11">
        <v>0</v>
      </c>
      <c r="I333" s="11" t="s">
        <v>635</v>
      </c>
      <c r="J333" s="12">
        <v>28.5</v>
      </c>
    </row>
    <row r="334" spans="1:10" x14ac:dyDescent="0.3">
      <c r="A334" s="7">
        <v>333</v>
      </c>
      <c r="B334" s="8">
        <v>0</v>
      </c>
      <c r="C334" s="8">
        <v>1</v>
      </c>
      <c r="D334" s="8" t="s">
        <v>636</v>
      </c>
      <c r="E334" s="8" t="s">
        <v>11</v>
      </c>
      <c r="F334" s="8">
        <v>38</v>
      </c>
      <c r="G334" s="8">
        <v>0</v>
      </c>
      <c r="H334" s="8">
        <v>1</v>
      </c>
      <c r="I334" s="8" t="s">
        <v>520</v>
      </c>
      <c r="J334" s="9">
        <v>153.46250000000001</v>
      </c>
    </row>
    <row r="335" spans="1:10" x14ac:dyDescent="0.3">
      <c r="A335" s="10">
        <v>334</v>
      </c>
      <c r="B335" s="11">
        <v>0</v>
      </c>
      <c r="C335" s="11">
        <v>3</v>
      </c>
      <c r="D335" s="11" t="s">
        <v>637</v>
      </c>
      <c r="E335" s="11" t="s">
        <v>11</v>
      </c>
      <c r="F335" s="11">
        <v>16</v>
      </c>
      <c r="G335" s="11">
        <v>2</v>
      </c>
      <c r="H335" s="11">
        <v>0</v>
      </c>
      <c r="I335" s="11" t="s">
        <v>88</v>
      </c>
      <c r="J335" s="12">
        <v>18</v>
      </c>
    </row>
    <row r="336" spans="1:10" x14ac:dyDescent="0.3">
      <c r="A336" s="7">
        <v>335</v>
      </c>
      <c r="B336" s="8">
        <v>1</v>
      </c>
      <c r="C336" s="8">
        <v>1</v>
      </c>
      <c r="D336" s="8" t="s">
        <v>638</v>
      </c>
      <c r="E336" s="8" t="s">
        <v>14</v>
      </c>
      <c r="F336" s="8"/>
      <c r="G336" s="8">
        <v>1</v>
      </c>
      <c r="H336" s="8">
        <v>0</v>
      </c>
      <c r="I336" s="8" t="s">
        <v>639</v>
      </c>
      <c r="J336" s="9">
        <v>133.65</v>
      </c>
    </row>
    <row r="337" spans="1:10" x14ac:dyDescent="0.3">
      <c r="A337" s="10">
        <v>336</v>
      </c>
      <c r="B337" s="11">
        <v>0</v>
      </c>
      <c r="C337" s="11">
        <v>3</v>
      </c>
      <c r="D337" s="11" t="s">
        <v>640</v>
      </c>
      <c r="E337" s="11" t="s">
        <v>11</v>
      </c>
      <c r="F337" s="11"/>
      <c r="G337" s="11">
        <v>0</v>
      </c>
      <c r="H337" s="11">
        <v>0</v>
      </c>
      <c r="I337" s="11" t="s">
        <v>641</v>
      </c>
      <c r="J337" s="12">
        <v>7.8958000000000004</v>
      </c>
    </row>
    <row r="338" spans="1:10" x14ac:dyDescent="0.3">
      <c r="A338" s="7">
        <v>337</v>
      </c>
      <c r="B338" s="8">
        <v>0</v>
      </c>
      <c r="C338" s="8">
        <v>1</v>
      </c>
      <c r="D338" s="8" t="s">
        <v>642</v>
      </c>
      <c r="E338" s="8" t="s">
        <v>11</v>
      </c>
      <c r="F338" s="8">
        <v>29</v>
      </c>
      <c r="G338" s="8">
        <v>1</v>
      </c>
      <c r="H338" s="8">
        <v>0</v>
      </c>
      <c r="I338" s="8" t="s">
        <v>304</v>
      </c>
      <c r="J338" s="9">
        <v>66.599999999999994</v>
      </c>
    </row>
    <row r="339" spans="1:10" x14ac:dyDescent="0.3">
      <c r="A339" s="10">
        <v>338</v>
      </c>
      <c r="B339" s="11">
        <v>1</v>
      </c>
      <c r="C339" s="11">
        <v>1</v>
      </c>
      <c r="D339" s="11" t="s">
        <v>643</v>
      </c>
      <c r="E339" s="11" t="s">
        <v>14</v>
      </c>
      <c r="F339" s="11">
        <v>41</v>
      </c>
      <c r="G339" s="11">
        <v>0</v>
      </c>
      <c r="H339" s="11">
        <v>0</v>
      </c>
      <c r="I339" s="11" t="s">
        <v>616</v>
      </c>
      <c r="J339" s="12">
        <v>134.5</v>
      </c>
    </row>
    <row r="340" spans="1:10" x14ac:dyDescent="0.3">
      <c r="A340" s="7">
        <v>339</v>
      </c>
      <c r="B340" s="8">
        <v>1</v>
      </c>
      <c r="C340" s="8">
        <v>3</v>
      </c>
      <c r="D340" s="8" t="s">
        <v>644</v>
      </c>
      <c r="E340" s="8" t="s">
        <v>11</v>
      </c>
      <c r="F340" s="8">
        <v>45</v>
      </c>
      <c r="G340" s="8">
        <v>0</v>
      </c>
      <c r="H340" s="8">
        <v>0</v>
      </c>
      <c r="I340" s="8" t="s">
        <v>645</v>
      </c>
      <c r="J340" s="9">
        <v>8.0500000000000007</v>
      </c>
    </row>
    <row r="341" spans="1:10" x14ac:dyDescent="0.3">
      <c r="A341" s="10">
        <v>340</v>
      </c>
      <c r="B341" s="11">
        <v>0</v>
      </c>
      <c r="C341" s="11">
        <v>1</v>
      </c>
      <c r="D341" s="11" t="s">
        <v>646</v>
      </c>
      <c r="E341" s="11" t="s">
        <v>11</v>
      </c>
      <c r="F341" s="11">
        <v>45</v>
      </c>
      <c r="G341" s="11">
        <v>0</v>
      </c>
      <c r="H341" s="11">
        <v>0</v>
      </c>
      <c r="I341" s="11" t="s">
        <v>647</v>
      </c>
      <c r="J341" s="12">
        <v>35.5</v>
      </c>
    </row>
    <row r="342" spans="1:10" x14ac:dyDescent="0.3">
      <c r="A342" s="7">
        <v>341</v>
      </c>
      <c r="B342" s="8">
        <v>1</v>
      </c>
      <c r="C342" s="8">
        <v>2</v>
      </c>
      <c r="D342" s="8" t="s">
        <v>648</v>
      </c>
      <c r="E342" s="8" t="s">
        <v>11</v>
      </c>
      <c r="F342" s="8">
        <v>2</v>
      </c>
      <c r="G342" s="8">
        <v>1</v>
      </c>
      <c r="H342" s="8">
        <v>1</v>
      </c>
      <c r="I342" s="8" t="s">
        <v>298</v>
      </c>
      <c r="J342" s="9">
        <v>26</v>
      </c>
    </row>
    <row r="343" spans="1:10" x14ac:dyDescent="0.3">
      <c r="A343" s="10">
        <v>342</v>
      </c>
      <c r="B343" s="11">
        <v>1</v>
      </c>
      <c r="C343" s="11">
        <v>1</v>
      </c>
      <c r="D343" s="11" t="s">
        <v>649</v>
      </c>
      <c r="E343" s="11" t="s">
        <v>14</v>
      </c>
      <c r="F343" s="11">
        <v>24</v>
      </c>
      <c r="G343" s="11">
        <v>3</v>
      </c>
      <c r="H343" s="11">
        <v>2</v>
      </c>
      <c r="I343" s="11" t="s">
        <v>66</v>
      </c>
      <c r="J343" s="12">
        <v>263</v>
      </c>
    </row>
    <row r="344" spans="1:10" x14ac:dyDescent="0.3">
      <c r="A344" s="7">
        <v>343</v>
      </c>
      <c r="B344" s="8">
        <v>0</v>
      </c>
      <c r="C344" s="8">
        <v>2</v>
      </c>
      <c r="D344" s="8" t="s">
        <v>650</v>
      </c>
      <c r="E344" s="8" t="s">
        <v>11</v>
      </c>
      <c r="F344" s="8">
        <v>28</v>
      </c>
      <c r="G344" s="8">
        <v>0</v>
      </c>
      <c r="H344" s="8">
        <v>0</v>
      </c>
      <c r="I344" s="8" t="s">
        <v>651</v>
      </c>
      <c r="J344" s="9">
        <v>13</v>
      </c>
    </row>
    <row r="345" spans="1:10" x14ac:dyDescent="0.3">
      <c r="A345" s="10">
        <v>344</v>
      </c>
      <c r="B345" s="11">
        <v>0</v>
      </c>
      <c r="C345" s="11">
        <v>2</v>
      </c>
      <c r="D345" s="11" t="s">
        <v>652</v>
      </c>
      <c r="E345" s="11" t="s">
        <v>11</v>
      </c>
      <c r="F345" s="11">
        <v>25</v>
      </c>
      <c r="G345" s="11">
        <v>0</v>
      </c>
      <c r="H345" s="11">
        <v>0</v>
      </c>
      <c r="I345" s="11" t="s">
        <v>653</v>
      </c>
      <c r="J345" s="12">
        <v>13</v>
      </c>
    </row>
    <row r="346" spans="1:10" x14ac:dyDescent="0.3">
      <c r="A346" s="7">
        <v>345</v>
      </c>
      <c r="B346" s="8">
        <v>0</v>
      </c>
      <c r="C346" s="8">
        <v>2</v>
      </c>
      <c r="D346" s="8" t="s">
        <v>654</v>
      </c>
      <c r="E346" s="8" t="s">
        <v>11</v>
      </c>
      <c r="F346" s="8">
        <v>36</v>
      </c>
      <c r="G346" s="8">
        <v>0</v>
      </c>
      <c r="H346" s="8">
        <v>0</v>
      </c>
      <c r="I346" s="8" t="s">
        <v>655</v>
      </c>
      <c r="J346" s="9">
        <v>13</v>
      </c>
    </row>
    <row r="347" spans="1:10" x14ac:dyDescent="0.3">
      <c r="A347" s="10">
        <v>346</v>
      </c>
      <c r="B347" s="11">
        <v>1</v>
      </c>
      <c r="C347" s="11">
        <v>2</v>
      </c>
      <c r="D347" s="11" t="s">
        <v>656</v>
      </c>
      <c r="E347" s="11" t="s">
        <v>14</v>
      </c>
      <c r="F347" s="11">
        <v>24</v>
      </c>
      <c r="G347" s="11">
        <v>0</v>
      </c>
      <c r="H347" s="11">
        <v>0</v>
      </c>
      <c r="I347" s="11" t="s">
        <v>657</v>
      </c>
      <c r="J347" s="12">
        <v>13</v>
      </c>
    </row>
    <row r="348" spans="1:10" x14ac:dyDescent="0.3">
      <c r="A348" s="7">
        <v>347</v>
      </c>
      <c r="B348" s="8">
        <v>1</v>
      </c>
      <c r="C348" s="8">
        <v>2</v>
      </c>
      <c r="D348" s="8" t="s">
        <v>658</v>
      </c>
      <c r="E348" s="8" t="s">
        <v>14</v>
      </c>
      <c r="F348" s="8">
        <v>40</v>
      </c>
      <c r="G348" s="8">
        <v>0</v>
      </c>
      <c r="H348" s="8">
        <v>0</v>
      </c>
      <c r="I348" s="8" t="s">
        <v>659</v>
      </c>
      <c r="J348" s="9">
        <v>13</v>
      </c>
    </row>
    <row r="349" spans="1:10" x14ac:dyDescent="0.3">
      <c r="A349" s="10">
        <v>348</v>
      </c>
      <c r="B349" s="11">
        <v>1</v>
      </c>
      <c r="C349" s="11">
        <v>3</v>
      </c>
      <c r="D349" s="11" t="s">
        <v>660</v>
      </c>
      <c r="E349" s="11" t="s">
        <v>14</v>
      </c>
      <c r="F349" s="11"/>
      <c r="G349" s="11">
        <v>1</v>
      </c>
      <c r="H349" s="11">
        <v>0</v>
      </c>
      <c r="I349" s="11" t="s">
        <v>661</v>
      </c>
      <c r="J349" s="12">
        <v>16.100000000000001</v>
      </c>
    </row>
    <row r="350" spans="1:10" x14ac:dyDescent="0.3">
      <c r="A350" s="7">
        <v>349</v>
      </c>
      <c r="B350" s="8">
        <v>1</v>
      </c>
      <c r="C350" s="8">
        <v>3</v>
      </c>
      <c r="D350" s="8" t="s">
        <v>662</v>
      </c>
      <c r="E350" s="8" t="s">
        <v>11</v>
      </c>
      <c r="F350" s="8">
        <v>3</v>
      </c>
      <c r="G350" s="8">
        <v>1</v>
      </c>
      <c r="H350" s="8">
        <v>1</v>
      </c>
      <c r="I350" s="8" t="s">
        <v>663</v>
      </c>
      <c r="J350" s="9">
        <v>15.9</v>
      </c>
    </row>
    <row r="351" spans="1:10" x14ac:dyDescent="0.3">
      <c r="A351" s="10">
        <v>350</v>
      </c>
      <c r="B351" s="11">
        <v>0</v>
      </c>
      <c r="C351" s="11">
        <v>3</v>
      </c>
      <c r="D351" s="11" t="s">
        <v>664</v>
      </c>
      <c r="E351" s="11" t="s">
        <v>11</v>
      </c>
      <c r="F351" s="11">
        <v>42</v>
      </c>
      <c r="G351" s="11">
        <v>0</v>
      </c>
      <c r="H351" s="11">
        <v>0</v>
      </c>
      <c r="I351" s="11" t="s">
        <v>665</v>
      </c>
      <c r="J351" s="12">
        <v>8.6624999999999996</v>
      </c>
    </row>
    <row r="352" spans="1:10" x14ac:dyDescent="0.3">
      <c r="A352" s="7">
        <v>351</v>
      </c>
      <c r="B352" s="8">
        <v>0</v>
      </c>
      <c r="C352" s="8">
        <v>3</v>
      </c>
      <c r="D352" s="8" t="s">
        <v>666</v>
      </c>
      <c r="E352" s="8" t="s">
        <v>11</v>
      </c>
      <c r="F352" s="8">
        <v>23</v>
      </c>
      <c r="G352" s="8">
        <v>0</v>
      </c>
      <c r="H352" s="8">
        <v>0</v>
      </c>
      <c r="I352" s="8" t="s">
        <v>667</v>
      </c>
      <c r="J352" s="9">
        <v>9.2249999999999996</v>
      </c>
    </row>
    <row r="353" spans="1:10" x14ac:dyDescent="0.3">
      <c r="A353" s="10">
        <v>352</v>
      </c>
      <c r="B353" s="11">
        <v>0</v>
      </c>
      <c r="C353" s="11">
        <v>1</v>
      </c>
      <c r="D353" s="11" t="s">
        <v>668</v>
      </c>
      <c r="E353" s="11" t="s">
        <v>11</v>
      </c>
      <c r="F353" s="11"/>
      <c r="G353" s="11">
        <v>0</v>
      </c>
      <c r="H353" s="11">
        <v>0</v>
      </c>
      <c r="I353" s="11" t="s">
        <v>669</v>
      </c>
      <c r="J353" s="12">
        <v>35</v>
      </c>
    </row>
    <row r="354" spans="1:10" x14ac:dyDescent="0.3">
      <c r="A354" s="7">
        <v>353</v>
      </c>
      <c r="B354" s="8">
        <v>0</v>
      </c>
      <c r="C354" s="8">
        <v>3</v>
      </c>
      <c r="D354" s="8" t="s">
        <v>670</v>
      </c>
      <c r="E354" s="8" t="s">
        <v>11</v>
      </c>
      <c r="F354" s="8">
        <v>15</v>
      </c>
      <c r="G354" s="8">
        <v>1</v>
      </c>
      <c r="H354" s="8">
        <v>1</v>
      </c>
      <c r="I354" s="8" t="s">
        <v>671</v>
      </c>
      <c r="J354" s="9">
        <v>7.2291999999999996</v>
      </c>
    </row>
    <row r="355" spans="1:10" x14ac:dyDescent="0.3">
      <c r="A355" s="10">
        <v>354</v>
      </c>
      <c r="B355" s="11">
        <v>0</v>
      </c>
      <c r="C355" s="11">
        <v>3</v>
      </c>
      <c r="D355" s="11" t="s">
        <v>672</v>
      </c>
      <c r="E355" s="11" t="s">
        <v>11</v>
      </c>
      <c r="F355" s="11">
        <v>25</v>
      </c>
      <c r="G355" s="11">
        <v>1</v>
      </c>
      <c r="H355" s="11">
        <v>0</v>
      </c>
      <c r="I355" s="11" t="s">
        <v>110</v>
      </c>
      <c r="J355" s="12">
        <v>17.8</v>
      </c>
    </row>
    <row r="356" spans="1:10" x14ac:dyDescent="0.3">
      <c r="A356" s="7">
        <v>355</v>
      </c>
      <c r="B356" s="8">
        <v>0</v>
      </c>
      <c r="C356" s="8">
        <v>3</v>
      </c>
      <c r="D356" s="8" t="s">
        <v>673</v>
      </c>
      <c r="E356" s="8" t="s">
        <v>11</v>
      </c>
      <c r="F356" s="8"/>
      <c r="G356" s="8">
        <v>0</v>
      </c>
      <c r="H356" s="8">
        <v>0</v>
      </c>
      <c r="I356" s="8" t="s">
        <v>674</v>
      </c>
      <c r="J356" s="9">
        <v>7.2249999999999996</v>
      </c>
    </row>
    <row r="357" spans="1:10" x14ac:dyDescent="0.3">
      <c r="A357" s="10">
        <v>356</v>
      </c>
      <c r="B357" s="11">
        <v>0</v>
      </c>
      <c r="C357" s="11">
        <v>3</v>
      </c>
      <c r="D357" s="11" t="s">
        <v>675</v>
      </c>
      <c r="E357" s="11" t="s">
        <v>11</v>
      </c>
      <c r="F357" s="11">
        <v>28</v>
      </c>
      <c r="G357" s="11">
        <v>0</v>
      </c>
      <c r="H357" s="11">
        <v>0</v>
      </c>
      <c r="I357" s="11" t="s">
        <v>676</v>
      </c>
      <c r="J357" s="12">
        <v>9.5</v>
      </c>
    </row>
    <row r="358" spans="1:10" x14ac:dyDescent="0.3">
      <c r="A358" s="7">
        <v>357</v>
      </c>
      <c r="B358" s="8">
        <v>1</v>
      </c>
      <c r="C358" s="8">
        <v>1</v>
      </c>
      <c r="D358" s="8" t="s">
        <v>677</v>
      </c>
      <c r="E358" s="8" t="s">
        <v>14</v>
      </c>
      <c r="F358" s="8">
        <v>22</v>
      </c>
      <c r="G358" s="8">
        <v>0</v>
      </c>
      <c r="H358" s="8">
        <v>1</v>
      </c>
      <c r="I358" s="8" t="s">
        <v>333</v>
      </c>
      <c r="J358" s="9">
        <v>55</v>
      </c>
    </row>
    <row r="359" spans="1:10" x14ac:dyDescent="0.3">
      <c r="A359" s="10">
        <v>358</v>
      </c>
      <c r="B359" s="11">
        <v>0</v>
      </c>
      <c r="C359" s="11">
        <v>2</v>
      </c>
      <c r="D359" s="11" t="s">
        <v>678</v>
      </c>
      <c r="E359" s="11" t="s">
        <v>14</v>
      </c>
      <c r="F359" s="11">
        <v>38</v>
      </c>
      <c r="G359" s="11">
        <v>0</v>
      </c>
      <c r="H359" s="11">
        <v>0</v>
      </c>
      <c r="I359" s="11" t="s">
        <v>679</v>
      </c>
      <c r="J359" s="12">
        <v>13</v>
      </c>
    </row>
    <row r="360" spans="1:10" x14ac:dyDescent="0.3">
      <c r="A360" s="7">
        <v>359</v>
      </c>
      <c r="B360" s="8">
        <v>1</v>
      </c>
      <c r="C360" s="8">
        <v>3</v>
      </c>
      <c r="D360" s="8" t="s">
        <v>680</v>
      </c>
      <c r="E360" s="8" t="s">
        <v>14</v>
      </c>
      <c r="F360" s="8"/>
      <c r="G360" s="8">
        <v>0</v>
      </c>
      <c r="H360" s="8">
        <v>0</v>
      </c>
      <c r="I360" s="8" t="s">
        <v>681</v>
      </c>
      <c r="J360" s="9">
        <v>7.8792</v>
      </c>
    </row>
    <row r="361" spans="1:10" x14ac:dyDescent="0.3">
      <c r="A361" s="10">
        <v>360</v>
      </c>
      <c r="B361" s="11">
        <v>1</v>
      </c>
      <c r="C361" s="11">
        <v>3</v>
      </c>
      <c r="D361" s="11" t="s">
        <v>682</v>
      </c>
      <c r="E361" s="11" t="s">
        <v>14</v>
      </c>
      <c r="F361" s="11"/>
      <c r="G361" s="11">
        <v>0</v>
      </c>
      <c r="H361" s="11">
        <v>0</v>
      </c>
      <c r="I361" s="11" t="s">
        <v>683</v>
      </c>
      <c r="J361" s="12">
        <v>7.8792</v>
      </c>
    </row>
    <row r="362" spans="1:10" x14ac:dyDescent="0.3">
      <c r="A362" s="7">
        <v>361</v>
      </c>
      <c r="B362" s="8">
        <v>0</v>
      </c>
      <c r="C362" s="8">
        <v>3</v>
      </c>
      <c r="D362" s="8" t="s">
        <v>684</v>
      </c>
      <c r="E362" s="8" t="s">
        <v>11</v>
      </c>
      <c r="F362" s="8">
        <v>40</v>
      </c>
      <c r="G362" s="8">
        <v>1</v>
      </c>
      <c r="H362" s="8">
        <v>4</v>
      </c>
      <c r="I362" s="8" t="s">
        <v>138</v>
      </c>
      <c r="J362" s="9">
        <v>27.9</v>
      </c>
    </row>
    <row r="363" spans="1:10" x14ac:dyDescent="0.3">
      <c r="A363" s="10">
        <v>362</v>
      </c>
      <c r="B363" s="11">
        <v>0</v>
      </c>
      <c r="C363" s="11">
        <v>2</v>
      </c>
      <c r="D363" s="11" t="s">
        <v>685</v>
      </c>
      <c r="E363" s="11" t="s">
        <v>11</v>
      </c>
      <c r="F363" s="11">
        <v>29</v>
      </c>
      <c r="G363" s="11">
        <v>1</v>
      </c>
      <c r="H363" s="11">
        <v>0</v>
      </c>
      <c r="I363" s="11" t="s">
        <v>686</v>
      </c>
      <c r="J363" s="12">
        <v>27.720800000000001</v>
      </c>
    </row>
    <row r="364" spans="1:10" x14ac:dyDescent="0.3">
      <c r="A364" s="7">
        <v>363</v>
      </c>
      <c r="B364" s="8">
        <v>0</v>
      </c>
      <c r="C364" s="8">
        <v>3</v>
      </c>
      <c r="D364" s="8" t="s">
        <v>687</v>
      </c>
      <c r="E364" s="8" t="s">
        <v>14</v>
      </c>
      <c r="F364" s="8">
        <v>45</v>
      </c>
      <c r="G364" s="8">
        <v>0</v>
      </c>
      <c r="H364" s="8">
        <v>1</v>
      </c>
      <c r="I364" s="8" t="s">
        <v>688</v>
      </c>
      <c r="J364" s="9">
        <v>14.4542</v>
      </c>
    </row>
    <row r="365" spans="1:10" x14ac:dyDescent="0.3">
      <c r="A365" s="10">
        <v>364</v>
      </c>
      <c r="B365" s="11">
        <v>0</v>
      </c>
      <c r="C365" s="11">
        <v>3</v>
      </c>
      <c r="D365" s="11" t="s">
        <v>689</v>
      </c>
      <c r="E365" s="11" t="s">
        <v>11</v>
      </c>
      <c r="F365" s="11">
        <v>35</v>
      </c>
      <c r="G365" s="11">
        <v>0</v>
      </c>
      <c r="H365" s="11">
        <v>0</v>
      </c>
      <c r="I365" s="11" t="s">
        <v>690</v>
      </c>
      <c r="J365" s="12">
        <v>7.05</v>
      </c>
    </row>
    <row r="366" spans="1:10" x14ac:dyDescent="0.3">
      <c r="A366" s="7">
        <v>365</v>
      </c>
      <c r="B366" s="8">
        <v>0</v>
      </c>
      <c r="C366" s="8">
        <v>3</v>
      </c>
      <c r="D366" s="8" t="s">
        <v>691</v>
      </c>
      <c r="E366" s="8" t="s">
        <v>11</v>
      </c>
      <c r="F366" s="8"/>
      <c r="G366" s="8">
        <v>1</v>
      </c>
      <c r="H366" s="8">
        <v>0</v>
      </c>
      <c r="I366" s="8" t="s">
        <v>367</v>
      </c>
      <c r="J366" s="9">
        <v>15.5</v>
      </c>
    </row>
    <row r="367" spans="1:10" x14ac:dyDescent="0.3">
      <c r="A367" s="10">
        <v>366</v>
      </c>
      <c r="B367" s="11">
        <v>0</v>
      </c>
      <c r="C367" s="11">
        <v>3</v>
      </c>
      <c r="D367" s="11" t="s">
        <v>692</v>
      </c>
      <c r="E367" s="11" t="s">
        <v>11</v>
      </c>
      <c r="F367" s="11">
        <v>30</v>
      </c>
      <c r="G367" s="11">
        <v>0</v>
      </c>
      <c r="H367" s="11">
        <v>0</v>
      </c>
      <c r="I367" s="11" t="s">
        <v>693</v>
      </c>
      <c r="J367" s="12">
        <v>7.25</v>
      </c>
    </row>
    <row r="368" spans="1:10" x14ac:dyDescent="0.3">
      <c r="A368" s="7">
        <v>367</v>
      </c>
      <c r="B368" s="8">
        <v>1</v>
      </c>
      <c r="C368" s="8">
        <v>1</v>
      </c>
      <c r="D368" s="8" t="s">
        <v>694</v>
      </c>
      <c r="E368" s="8" t="s">
        <v>14</v>
      </c>
      <c r="F368" s="8">
        <v>60</v>
      </c>
      <c r="G368" s="8">
        <v>1</v>
      </c>
      <c r="H368" s="8">
        <v>0</v>
      </c>
      <c r="I368" s="8" t="s">
        <v>695</v>
      </c>
      <c r="J368" s="9">
        <v>75.25</v>
      </c>
    </row>
    <row r="369" spans="1:10" x14ac:dyDescent="0.3">
      <c r="A369" s="10">
        <v>368</v>
      </c>
      <c r="B369" s="11">
        <v>1</v>
      </c>
      <c r="C369" s="11">
        <v>3</v>
      </c>
      <c r="D369" s="11" t="s">
        <v>696</v>
      </c>
      <c r="E369" s="11" t="s">
        <v>14</v>
      </c>
      <c r="F369" s="11"/>
      <c r="G369" s="11">
        <v>0</v>
      </c>
      <c r="H369" s="11">
        <v>0</v>
      </c>
      <c r="I369" s="11" t="s">
        <v>697</v>
      </c>
      <c r="J369" s="12">
        <v>7.2291999999999996</v>
      </c>
    </row>
    <row r="370" spans="1:10" x14ac:dyDescent="0.3">
      <c r="A370" s="7">
        <v>369</v>
      </c>
      <c r="B370" s="8">
        <v>1</v>
      </c>
      <c r="C370" s="8">
        <v>3</v>
      </c>
      <c r="D370" s="8" t="s">
        <v>698</v>
      </c>
      <c r="E370" s="8" t="s">
        <v>14</v>
      </c>
      <c r="F370" s="8"/>
      <c r="G370" s="8">
        <v>0</v>
      </c>
      <c r="H370" s="8">
        <v>0</v>
      </c>
      <c r="I370" s="8" t="s">
        <v>699</v>
      </c>
      <c r="J370" s="9">
        <v>7.75</v>
      </c>
    </row>
    <row r="371" spans="1:10" x14ac:dyDescent="0.3">
      <c r="A371" s="10">
        <v>370</v>
      </c>
      <c r="B371" s="11">
        <v>1</v>
      </c>
      <c r="C371" s="11">
        <v>1</v>
      </c>
      <c r="D371" s="11" t="s">
        <v>700</v>
      </c>
      <c r="E371" s="11" t="s">
        <v>14</v>
      </c>
      <c r="F371" s="11">
        <v>24</v>
      </c>
      <c r="G371" s="11">
        <v>0</v>
      </c>
      <c r="H371" s="11">
        <v>0</v>
      </c>
      <c r="I371" s="11" t="s">
        <v>701</v>
      </c>
      <c r="J371" s="12">
        <v>69.3</v>
      </c>
    </row>
    <row r="372" spans="1:10" x14ac:dyDescent="0.3">
      <c r="A372" s="7">
        <v>371</v>
      </c>
      <c r="B372" s="8">
        <v>1</v>
      </c>
      <c r="C372" s="8">
        <v>1</v>
      </c>
      <c r="D372" s="8" t="s">
        <v>702</v>
      </c>
      <c r="E372" s="8" t="s">
        <v>11</v>
      </c>
      <c r="F372" s="8">
        <v>25</v>
      </c>
      <c r="G372" s="8">
        <v>1</v>
      </c>
      <c r="H372" s="8">
        <v>0</v>
      </c>
      <c r="I372" s="8" t="s">
        <v>703</v>
      </c>
      <c r="J372" s="9">
        <v>55.441699999999997</v>
      </c>
    </row>
    <row r="373" spans="1:10" x14ac:dyDescent="0.3">
      <c r="A373" s="10">
        <v>372</v>
      </c>
      <c r="B373" s="11">
        <v>0</v>
      </c>
      <c r="C373" s="11">
        <v>3</v>
      </c>
      <c r="D373" s="11" t="s">
        <v>704</v>
      </c>
      <c r="E373" s="11" t="s">
        <v>11</v>
      </c>
      <c r="F373" s="11">
        <v>18</v>
      </c>
      <c r="G373" s="11">
        <v>1</v>
      </c>
      <c r="H373" s="11">
        <v>0</v>
      </c>
      <c r="I373" s="11" t="s">
        <v>705</v>
      </c>
      <c r="J373" s="12">
        <v>6.4958</v>
      </c>
    </row>
    <row r="374" spans="1:10" x14ac:dyDescent="0.3">
      <c r="A374" s="7">
        <v>373</v>
      </c>
      <c r="B374" s="8">
        <v>0</v>
      </c>
      <c r="C374" s="8">
        <v>3</v>
      </c>
      <c r="D374" s="8" t="s">
        <v>706</v>
      </c>
      <c r="E374" s="8" t="s">
        <v>11</v>
      </c>
      <c r="F374" s="8">
        <v>19</v>
      </c>
      <c r="G374" s="8">
        <v>0</v>
      </c>
      <c r="H374" s="8">
        <v>0</v>
      </c>
      <c r="I374" s="8" t="s">
        <v>707</v>
      </c>
      <c r="J374" s="9">
        <v>8.0500000000000007</v>
      </c>
    </row>
    <row r="375" spans="1:10" x14ac:dyDescent="0.3">
      <c r="A375" s="10">
        <v>374</v>
      </c>
      <c r="B375" s="11">
        <v>0</v>
      </c>
      <c r="C375" s="11">
        <v>1</v>
      </c>
      <c r="D375" s="11" t="s">
        <v>708</v>
      </c>
      <c r="E375" s="11" t="s">
        <v>11</v>
      </c>
      <c r="F375" s="11">
        <v>22</v>
      </c>
      <c r="G375" s="11">
        <v>0</v>
      </c>
      <c r="H375" s="11">
        <v>0</v>
      </c>
      <c r="I375" s="11" t="s">
        <v>522</v>
      </c>
      <c r="J375" s="12">
        <v>135.63329999999999</v>
      </c>
    </row>
    <row r="376" spans="1:10" x14ac:dyDescent="0.3">
      <c r="A376" s="7">
        <v>375</v>
      </c>
      <c r="B376" s="8">
        <v>0</v>
      </c>
      <c r="C376" s="8">
        <v>3</v>
      </c>
      <c r="D376" s="8" t="s">
        <v>709</v>
      </c>
      <c r="E376" s="8" t="s">
        <v>14</v>
      </c>
      <c r="F376" s="8">
        <v>3</v>
      </c>
      <c r="G376" s="8">
        <v>3</v>
      </c>
      <c r="H376" s="8">
        <v>1</v>
      </c>
      <c r="I376" s="8" t="s">
        <v>27</v>
      </c>
      <c r="J376" s="9">
        <v>21.074999999999999</v>
      </c>
    </row>
    <row r="377" spans="1:10" x14ac:dyDescent="0.3">
      <c r="A377" s="10">
        <v>376</v>
      </c>
      <c r="B377" s="11">
        <v>1</v>
      </c>
      <c r="C377" s="11">
        <v>1</v>
      </c>
      <c r="D377" s="11" t="s">
        <v>710</v>
      </c>
      <c r="E377" s="11" t="s">
        <v>14</v>
      </c>
      <c r="F377" s="11"/>
      <c r="G377" s="11">
        <v>1</v>
      </c>
      <c r="H377" s="11">
        <v>0</v>
      </c>
      <c r="I377" s="11" t="s">
        <v>80</v>
      </c>
      <c r="J377" s="12">
        <v>82.1708</v>
      </c>
    </row>
    <row r="378" spans="1:10" x14ac:dyDescent="0.3">
      <c r="A378" s="7">
        <v>377</v>
      </c>
      <c r="B378" s="8">
        <v>1</v>
      </c>
      <c r="C378" s="8">
        <v>3</v>
      </c>
      <c r="D378" s="8" t="s">
        <v>711</v>
      </c>
      <c r="E378" s="8" t="s">
        <v>14</v>
      </c>
      <c r="F378" s="8">
        <v>22</v>
      </c>
      <c r="G378" s="8">
        <v>0</v>
      </c>
      <c r="H378" s="8">
        <v>0</v>
      </c>
      <c r="I378" s="8" t="s">
        <v>712</v>
      </c>
      <c r="J378" s="9">
        <v>7.25</v>
      </c>
    </row>
    <row r="379" spans="1:10" x14ac:dyDescent="0.3">
      <c r="A379" s="10">
        <v>378</v>
      </c>
      <c r="B379" s="11">
        <v>0</v>
      </c>
      <c r="C379" s="11">
        <v>1</v>
      </c>
      <c r="D379" s="11" t="s">
        <v>713</v>
      </c>
      <c r="E379" s="11" t="s">
        <v>11</v>
      </c>
      <c r="F379" s="11">
        <v>27</v>
      </c>
      <c r="G379" s="11">
        <v>0</v>
      </c>
      <c r="H379" s="11">
        <v>2</v>
      </c>
      <c r="I379" s="11" t="s">
        <v>714</v>
      </c>
      <c r="J379" s="12">
        <v>211.5</v>
      </c>
    </row>
    <row r="380" spans="1:10" x14ac:dyDescent="0.3">
      <c r="A380" s="7">
        <v>379</v>
      </c>
      <c r="B380" s="8">
        <v>0</v>
      </c>
      <c r="C380" s="8">
        <v>3</v>
      </c>
      <c r="D380" s="8" t="s">
        <v>715</v>
      </c>
      <c r="E380" s="8" t="s">
        <v>11</v>
      </c>
      <c r="F380" s="8">
        <v>20</v>
      </c>
      <c r="G380" s="8">
        <v>0</v>
      </c>
      <c r="H380" s="8">
        <v>0</v>
      </c>
      <c r="I380" s="8" t="s">
        <v>716</v>
      </c>
      <c r="J380" s="9">
        <v>4.0125000000000002</v>
      </c>
    </row>
    <row r="381" spans="1:10" x14ac:dyDescent="0.3">
      <c r="A381" s="10">
        <v>380</v>
      </c>
      <c r="B381" s="11">
        <v>0</v>
      </c>
      <c r="C381" s="11">
        <v>3</v>
      </c>
      <c r="D381" s="11" t="s">
        <v>717</v>
      </c>
      <c r="E381" s="11" t="s">
        <v>11</v>
      </c>
      <c r="F381" s="11">
        <v>19</v>
      </c>
      <c r="G381" s="11">
        <v>0</v>
      </c>
      <c r="H381" s="11">
        <v>0</v>
      </c>
      <c r="I381" s="11" t="s">
        <v>718</v>
      </c>
      <c r="J381" s="12">
        <v>7.7750000000000004</v>
      </c>
    </row>
    <row r="382" spans="1:10" x14ac:dyDescent="0.3">
      <c r="A382" s="7">
        <v>381</v>
      </c>
      <c r="B382" s="8">
        <v>1</v>
      </c>
      <c r="C382" s="8">
        <v>1</v>
      </c>
      <c r="D382" s="8" t="s">
        <v>719</v>
      </c>
      <c r="E382" s="8" t="s">
        <v>14</v>
      </c>
      <c r="F382" s="8">
        <v>42</v>
      </c>
      <c r="G382" s="8">
        <v>0</v>
      </c>
      <c r="H382" s="8">
        <v>0</v>
      </c>
      <c r="I382" s="8" t="s">
        <v>720</v>
      </c>
      <c r="J382" s="9">
        <v>227.52500000000001</v>
      </c>
    </row>
    <row r="383" spans="1:10" x14ac:dyDescent="0.3">
      <c r="A383" s="10">
        <v>382</v>
      </c>
      <c r="B383" s="11">
        <v>1</v>
      </c>
      <c r="C383" s="11">
        <v>3</v>
      </c>
      <c r="D383" s="11" t="s">
        <v>721</v>
      </c>
      <c r="E383" s="11" t="s">
        <v>14</v>
      </c>
      <c r="F383" s="11">
        <v>1</v>
      </c>
      <c r="G383" s="11">
        <v>0</v>
      </c>
      <c r="H383" s="11">
        <v>2</v>
      </c>
      <c r="I383" s="11" t="s">
        <v>722</v>
      </c>
      <c r="J383" s="12">
        <v>15.7417</v>
      </c>
    </row>
    <row r="384" spans="1:10" x14ac:dyDescent="0.3">
      <c r="A384" s="7">
        <v>383</v>
      </c>
      <c r="B384" s="8">
        <v>0</v>
      </c>
      <c r="C384" s="8">
        <v>3</v>
      </c>
      <c r="D384" s="8" t="s">
        <v>723</v>
      </c>
      <c r="E384" s="8" t="s">
        <v>11</v>
      </c>
      <c r="F384" s="8">
        <v>32</v>
      </c>
      <c r="G384" s="8">
        <v>0</v>
      </c>
      <c r="H384" s="8">
        <v>0</v>
      </c>
      <c r="I384" s="8" t="s">
        <v>724</v>
      </c>
      <c r="J384" s="9">
        <v>7.9249999999999998</v>
      </c>
    </row>
    <row r="385" spans="1:10" x14ac:dyDescent="0.3">
      <c r="A385" s="10">
        <v>384</v>
      </c>
      <c r="B385" s="11">
        <v>1</v>
      </c>
      <c r="C385" s="11">
        <v>1</v>
      </c>
      <c r="D385" s="11" t="s">
        <v>725</v>
      </c>
      <c r="E385" s="11" t="s">
        <v>14</v>
      </c>
      <c r="F385" s="11">
        <v>35</v>
      </c>
      <c r="G385" s="11">
        <v>1</v>
      </c>
      <c r="H385" s="11">
        <v>0</v>
      </c>
      <c r="I385" s="11" t="s">
        <v>82</v>
      </c>
      <c r="J385" s="12">
        <v>52</v>
      </c>
    </row>
    <row r="386" spans="1:10" x14ac:dyDescent="0.3">
      <c r="A386" s="7">
        <v>385</v>
      </c>
      <c r="B386" s="8">
        <v>0</v>
      </c>
      <c r="C386" s="8">
        <v>3</v>
      </c>
      <c r="D386" s="8" t="s">
        <v>726</v>
      </c>
      <c r="E386" s="8" t="s">
        <v>11</v>
      </c>
      <c r="F386" s="8"/>
      <c r="G386" s="8">
        <v>0</v>
      </c>
      <c r="H386" s="8">
        <v>0</v>
      </c>
      <c r="I386" s="8" t="s">
        <v>727</v>
      </c>
      <c r="J386" s="9">
        <v>7.8958000000000004</v>
      </c>
    </row>
    <row r="387" spans="1:10" x14ac:dyDescent="0.3">
      <c r="A387" s="10">
        <v>386</v>
      </c>
      <c r="B387" s="11">
        <v>0</v>
      </c>
      <c r="C387" s="11">
        <v>2</v>
      </c>
      <c r="D387" s="11" t="s">
        <v>728</v>
      </c>
      <c r="E387" s="11" t="s">
        <v>11</v>
      </c>
      <c r="F387" s="11">
        <v>18</v>
      </c>
      <c r="G387" s="11">
        <v>0</v>
      </c>
      <c r="H387" s="11">
        <v>0</v>
      </c>
      <c r="I387" s="11" t="s">
        <v>155</v>
      </c>
      <c r="J387" s="12">
        <v>73.5</v>
      </c>
    </row>
    <row r="388" spans="1:10" x14ac:dyDescent="0.3">
      <c r="A388" s="7">
        <v>387</v>
      </c>
      <c r="B388" s="8">
        <v>0</v>
      </c>
      <c r="C388" s="8">
        <v>3</v>
      </c>
      <c r="D388" s="8" t="s">
        <v>729</v>
      </c>
      <c r="E388" s="8" t="s">
        <v>11</v>
      </c>
      <c r="F388" s="8">
        <v>1</v>
      </c>
      <c r="G388" s="8">
        <v>5</v>
      </c>
      <c r="H388" s="8">
        <v>2</v>
      </c>
      <c r="I388" s="8" t="s">
        <v>130</v>
      </c>
      <c r="J388" s="9">
        <v>46.9</v>
      </c>
    </row>
    <row r="389" spans="1:10" x14ac:dyDescent="0.3">
      <c r="A389" s="10">
        <v>388</v>
      </c>
      <c r="B389" s="11">
        <v>1</v>
      </c>
      <c r="C389" s="11">
        <v>2</v>
      </c>
      <c r="D389" s="11" t="s">
        <v>730</v>
      </c>
      <c r="E389" s="11" t="s">
        <v>14</v>
      </c>
      <c r="F389" s="11">
        <v>36</v>
      </c>
      <c r="G389" s="11">
        <v>0</v>
      </c>
      <c r="H389" s="11">
        <v>0</v>
      </c>
      <c r="I389" s="11" t="s">
        <v>731</v>
      </c>
      <c r="J389" s="12">
        <v>13</v>
      </c>
    </row>
    <row r="390" spans="1:10" x14ac:dyDescent="0.3">
      <c r="A390" s="7">
        <v>389</v>
      </c>
      <c r="B390" s="8">
        <v>0</v>
      </c>
      <c r="C390" s="8">
        <v>3</v>
      </c>
      <c r="D390" s="8" t="s">
        <v>732</v>
      </c>
      <c r="E390" s="8" t="s">
        <v>11</v>
      </c>
      <c r="F390" s="8"/>
      <c r="G390" s="8">
        <v>0</v>
      </c>
      <c r="H390" s="8">
        <v>0</v>
      </c>
      <c r="I390" s="8" t="s">
        <v>733</v>
      </c>
      <c r="J390" s="9">
        <v>7.7291999999999996</v>
      </c>
    </row>
    <row r="391" spans="1:10" x14ac:dyDescent="0.3">
      <c r="A391" s="10">
        <v>390</v>
      </c>
      <c r="B391" s="11">
        <v>1</v>
      </c>
      <c r="C391" s="11">
        <v>2</v>
      </c>
      <c r="D391" s="11" t="s">
        <v>734</v>
      </c>
      <c r="E391" s="11" t="s">
        <v>14</v>
      </c>
      <c r="F391" s="11">
        <v>17</v>
      </c>
      <c r="G391" s="11">
        <v>0</v>
      </c>
      <c r="H391" s="11">
        <v>0</v>
      </c>
      <c r="I391" s="11" t="s">
        <v>735</v>
      </c>
      <c r="J391" s="12">
        <v>12</v>
      </c>
    </row>
    <row r="392" spans="1:10" x14ac:dyDescent="0.3">
      <c r="A392" s="7">
        <v>391</v>
      </c>
      <c r="B392" s="8">
        <v>1</v>
      </c>
      <c r="C392" s="8">
        <v>1</v>
      </c>
      <c r="D392" s="8" t="s">
        <v>736</v>
      </c>
      <c r="E392" s="8" t="s">
        <v>11</v>
      </c>
      <c r="F392" s="8">
        <v>36</v>
      </c>
      <c r="G392" s="8">
        <v>1</v>
      </c>
      <c r="H392" s="8">
        <v>2</v>
      </c>
      <c r="I392" s="8" t="s">
        <v>737</v>
      </c>
      <c r="J392" s="9">
        <v>120</v>
      </c>
    </row>
    <row r="393" spans="1:10" x14ac:dyDescent="0.3">
      <c r="A393" s="10">
        <v>392</v>
      </c>
      <c r="B393" s="11">
        <v>1</v>
      </c>
      <c r="C393" s="11">
        <v>3</v>
      </c>
      <c r="D393" s="11" t="s">
        <v>738</v>
      </c>
      <c r="E393" s="11" t="s">
        <v>11</v>
      </c>
      <c r="F393" s="11">
        <v>21</v>
      </c>
      <c r="G393" s="11">
        <v>0</v>
      </c>
      <c r="H393" s="11">
        <v>0</v>
      </c>
      <c r="I393" s="11" t="s">
        <v>739</v>
      </c>
      <c r="J393" s="12">
        <v>7.7957999999999998</v>
      </c>
    </row>
    <row r="394" spans="1:10" x14ac:dyDescent="0.3">
      <c r="A394" s="7">
        <v>393</v>
      </c>
      <c r="B394" s="8">
        <v>0</v>
      </c>
      <c r="C394" s="8">
        <v>3</v>
      </c>
      <c r="D394" s="8" t="s">
        <v>740</v>
      </c>
      <c r="E394" s="8" t="s">
        <v>11</v>
      </c>
      <c r="F394" s="8">
        <v>28</v>
      </c>
      <c r="G394" s="8">
        <v>2</v>
      </c>
      <c r="H394" s="8">
        <v>0</v>
      </c>
      <c r="I394" s="8" t="s">
        <v>741</v>
      </c>
      <c r="J394" s="9">
        <v>7.9249999999999998</v>
      </c>
    </row>
    <row r="395" spans="1:10" x14ac:dyDescent="0.3">
      <c r="A395" s="10">
        <v>394</v>
      </c>
      <c r="B395" s="11">
        <v>1</v>
      </c>
      <c r="C395" s="11">
        <v>1</v>
      </c>
      <c r="D395" s="11" t="s">
        <v>742</v>
      </c>
      <c r="E395" s="11" t="s">
        <v>14</v>
      </c>
      <c r="F395" s="11">
        <v>23</v>
      </c>
      <c r="G395" s="11">
        <v>1</v>
      </c>
      <c r="H395" s="11">
        <v>0</v>
      </c>
      <c r="I395" s="11" t="s">
        <v>421</v>
      </c>
      <c r="J395" s="12">
        <v>113.27500000000001</v>
      </c>
    </row>
    <row r="396" spans="1:10" x14ac:dyDescent="0.3">
      <c r="A396" s="7">
        <v>395</v>
      </c>
      <c r="B396" s="8">
        <v>1</v>
      </c>
      <c r="C396" s="8">
        <v>3</v>
      </c>
      <c r="D396" s="8" t="s">
        <v>743</v>
      </c>
      <c r="E396" s="8" t="s">
        <v>14</v>
      </c>
      <c r="F396" s="8">
        <v>24</v>
      </c>
      <c r="G396" s="8">
        <v>0</v>
      </c>
      <c r="H396" s="8">
        <v>2</v>
      </c>
      <c r="I396" s="8" t="s">
        <v>33</v>
      </c>
      <c r="J396" s="9">
        <v>16.7</v>
      </c>
    </row>
    <row r="397" spans="1:10" x14ac:dyDescent="0.3">
      <c r="A397" s="10">
        <v>396</v>
      </c>
      <c r="B397" s="11">
        <v>0</v>
      </c>
      <c r="C397" s="11">
        <v>3</v>
      </c>
      <c r="D397" s="11" t="s">
        <v>744</v>
      </c>
      <c r="E397" s="11" t="s">
        <v>11</v>
      </c>
      <c r="F397" s="11">
        <v>22</v>
      </c>
      <c r="G397" s="11">
        <v>0</v>
      </c>
      <c r="H397" s="11">
        <v>0</v>
      </c>
      <c r="I397" s="11" t="s">
        <v>745</v>
      </c>
      <c r="J397" s="12">
        <v>7.7957999999999998</v>
      </c>
    </row>
    <row r="398" spans="1:10" x14ac:dyDescent="0.3">
      <c r="A398" s="7">
        <v>397</v>
      </c>
      <c r="B398" s="8">
        <v>0</v>
      </c>
      <c r="C398" s="8">
        <v>3</v>
      </c>
      <c r="D398" s="8" t="s">
        <v>746</v>
      </c>
      <c r="E398" s="8" t="s">
        <v>14</v>
      </c>
      <c r="F398" s="8">
        <v>31</v>
      </c>
      <c r="G398" s="8">
        <v>0</v>
      </c>
      <c r="H398" s="8">
        <v>0</v>
      </c>
      <c r="I398" s="8" t="s">
        <v>747</v>
      </c>
      <c r="J398" s="9">
        <v>7.8541999999999996</v>
      </c>
    </row>
    <row r="399" spans="1:10" x14ac:dyDescent="0.3">
      <c r="A399" s="10">
        <v>398</v>
      </c>
      <c r="B399" s="11">
        <v>0</v>
      </c>
      <c r="C399" s="11">
        <v>2</v>
      </c>
      <c r="D399" s="11" t="s">
        <v>748</v>
      </c>
      <c r="E399" s="11" t="s">
        <v>11</v>
      </c>
      <c r="F399" s="11">
        <v>46</v>
      </c>
      <c r="G399" s="11">
        <v>0</v>
      </c>
      <c r="H399" s="11">
        <v>0</v>
      </c>
      <c r="I399" s="11" t="s">
        <v>749</v>
      </c>
      <c r="J399" s="12">
        <v>26</v>
      </c>
    </row>
    <row r="400" spans="1:10" x14ac:dyDescent="0.3">
      <c r="A400" s="7">
        <v>399</v>
      </c>
      <c r="B400" s="8">
        <v>0</v>
      </c>
      <c r="C400" s="8">
        <v>2</v>
      </c>
      <c r="D400" s="8" t="s">
        <v>750</v>
      </c>
      <c r="E400" s="8" t="s">
        <v>11</v>
      </c>
      <c r="F400" s="8">
        <v>23</v>
      </c>
      <c r="G400" s="8">
        <v>0</v>
      </c>
      <c r="H400" s="8">
        <v>0</v>
      </c>
      <c r="I400" s="8" t="s">
        <v>751</v>
      </c>
      <c r="J400" s="9">
        <v>10.5</v>
      </c>
    </row>
    <row r="401" spans="1:10" x14ac:dyDescent="0.3">
      <c r="A401" s="10">
        <v>400</v>
      </c>
      <c r="B401" s="11">
        <v>1</v>
      </c>
      <c r="C401" s="11">
        <v>2</v>
      </c>
      <c r="D401" s="11" t="s">
        <v>752</v>
      </c>
      <c r="E401" s="11" t="s">
        <v>14</v>
      </c>
      <c r="F401" s="11">
        <v>28</v>
      </c>
      <c r="G401" s="11">
        <v>0</v>
      </c>
      <c r="H401" s="11">
        <v>0</v>
      </c>
      <c r="I401" s="11" t="s">
        <v>753</v>
      </c>
      <c r="J401" s="12">
        <v>12.65</v>
      </c>
    </row>
    <row r="402" spans="1:10" x14ac:dyDescent="0.3">
      <c r="A402" s="7">
        <v>401</v>
      </c>
      <c r="B402" s="8">
        <v>1</v>
      </c>
      <c r="C402" s="8">
        <v>3</v>
      </c>
      <c r="D402" s="8" t="s">
        <v>754</v>
      </c>
      <c r="E402" s="8" t="s">
        <v>11</v>
      </c>
      <c r="F402" s="8">
        <v>39</v>
      </c>
      <c r="G402" s="8">
        <v>0</v>
      </c>
      <c r="H402" s="8">
        <v>0</v>
      </c>
      <c r="I402" s="8" t="s">
        <v>755</v>
      </c>
      <c r="J402" s="9">
        <v>7.9249999999999998</v>
      </c>
    </row>
    <row r="403" spans="1:10" x14ac:dyDescent="0.3">
      <c r="A403" s="10">
        <v>402</v>
      </c>
      <c r="B403" s="11">
        <v>0</v>
      </c>
      <c r="C403" s="11">
        <v>3</v>
      </c>
      <c r="D403" s="11" t="s">
        <v>756</v>
      </c>
      <c r="E403" s="11" t="s">
        <v>11</v>
      </c>
      <c r="F403" s="11">
        <v>26</v>
      </c>
      <c r="G403" s="11">
        <v>0</v>
      </c>
      <c r="H403" s="11">
        <v>0</v>
      </c>
      <c r="I403" s="11" t="s">
        <v>757</v>
      </c>
      <c r="J403" s="12">
        <v>8.0500000000000007</v>
      </c>
    </row>
    <row r="404" spans="1:10" x14ac:dyDescent="0.3">
      <c r="A404" s="7">
        <v>403</v>
      </c>
      <c r="B404" s="8">
        <v>0</v>
      </c>
      <c r="C404" s="8">
        <v>3</v>
      </c>
      <c r="D404" s="8" t="s">
        <v>758</v>
      </c>
      <c r="E404" s="8" t="s">
        <v>14</v>
      </c>
      <c r="F404" s="8">
        <v>21</v>
      </c>
      <c r="G404" s="8">
        <v>1</v>
      </c>
      <c r="H404" s="8">
        <v>0</v>
      </c>
      <c r="I404" s="8" t="s">
        <v>759</v>
      </c>
      <c r="J404" s="9">
        <v>9.8249999999999993</v>
      </c>
    </row>
    <row r="405" spans="1:10" x14ac:dyDescent="0.3">
      <c r="A405" s="10">
        <v>404</v>
      </c>
      <c r="B405" s="11">
        <v>0</v>
      </c>
      <c r="C405" s="11">
        <v>3</v>
      </c>
      <c r="D405" s="11" t="s">
        <v>760</v>
      </c>
      <c r="E405" s="11" t="s">
        <v>11</v>
      </c>
      <c r="F405" s="11">
        <v>28</v>
      </c>
      <c r="G405" s="11">
        <v>1</v>
      </c>
      <c r="H405" s="11">
        <v>0</v>
      </c>
      <c r="I405" s="11" t="s">
        <v>287</v>
      </c>
      <c r="J405" s="12">
        <v>15.85</v>
      </c>
    </row>
    <row r="406" spans="1:10" x14ac:dyDescent="0.3">
      <c r="A406" s="7">
        <v>405</v>
      </c>
      <c r="B406" s="8">
        <v>0</v>
      </c>
      <c r="C406" s="8">
        <v>3</v>
      </c>
      <c r="D406" s="8" t="s">
        <v>761</v>
      </c>
      <c r="E406" s="8" t="s">
        <v>14</v>
      </c>
      <c r="F406" s="8">
        <v>20</v>
      </c>
      <c r="G406" s="8">
        <v>0</v>
      </c>
      <c r="H406" s="8">
        <v>0</v>
      </c>
      <c r="I406" s="8" t="s">
        <v>762</v>
      </c>
      <c r="J406" s="9">
        <v>8.6624999999999996</v>
      </c>
    </row>
    <row r="407" spans="1:10" x14ac:dyDescent="0.3">
      <c r="A407" s="10">
        <v>406</v>
      </c>
      <c r="B407" s="11">
        <v>0</v>
      </c>
      <c r="C407" s="11">
        <v>2</v>
      </c>
      <c r="D407" s="11" t="s">
        <v>763</v>
      </c>
      <c r="E407" s="11" t="s">
        <v>11</v>
      </c>
      <c r="F407" s="11">
        <v>34</v>
      </c>
      <c r="G407" s="11">
        <v>1</v>
      </c>
      <c r="H407" s="11">
        <v>0</v>
      </c>
      <c r="I407" s="11" t="s">
        <v>764</v>
      </c>
      <c r="J407" s="12">
        <v>21</v>
      </c>
    </row>
    <row r="408" spans="1:10" x14ac:dyDescent="0.3">
      <c r="A408" s="7">
        <v>407</v>
      </c>
      <c r="B408" s="8">
        <v>0</v>
      </c>
      <c r="C408" s="8">
        <v>3</v>
      </c>
      <c r="D408" s="8" t="s">
        <v>765</v>
      </c>
      <c r="E408" s="8" t="s">
        <v>11</v>
      </c>
      <c r="F408" s="8">
        <v>51</v>
      </c>
      <c r="G408" s="8">
        <v>0</v>
      </c>
      <c r="H408" s="8">
        <v>0</v>
      </c>
      <c r="I408" s="8" t="s">
        <v>766</v>
      </c>
      <c r="J408" s="9">
        <v>7.75</v>
      </c>
    </row>
    <row r="409" spans="1:10" x14ac:dyDescent="0.3">
      <c r="A409" s="10">
        <v>408</v>
      </c>
      <c r="B409" s="11">
        <v>1</v>
      </c>
      <c r="C409" s="11">
        <v>2</v>
      </c>
      <c r="D409" s="11" t="s">
        <v>767</v>
      </c>
      <c r="E409" s="11" t="s">
        <v>11</v>
      </c>
      <c r="F409" s="11">
        <v>3</v>
      </c>
      <c r="G409" s="11">
        <v>1</v>
      </c>
      <c r="H409" s="11">
        <v>1</v>
      </c>
      <c r="I409" s="11" t="s">
        <v>768</v>
      </c>
      <c r="J409" s="12">
        <v>18.75</v>
      </c>
    </row>
    <row r="410" spans="1:10" x14ac:dyDescent="0.3">
      <c r="A410" s="7">
        <v>409</v>
      </c>
      <c r="B410" s="8">
        <v>0</v>
      </c>
      <c r="C410" s="8">
        <v>3</v>
      </c>
      <c r="D410" s="8" t="s">
        <v>769</v>
      </c>
      <c r="E410" s="8" t="s">
        <v>11</v>
      </c>
      <c r="F410" s="8">
        <v>21</v>
      </c>
      <c r="G410" s="8">
        <v>0</v>
      </c>
      <c r="H410" s="8">
        <v>0</v>
      </c>
      <c r="I410" s="8" t="s">
        <v>770</v>
      </c>
      <c r="J410" s="9">
        <v>7.7750000000000004</v>
      </c>
    </row>
    <row r="411" spans="1:10" x14ac:dyDescent="0.3">
      <c r="A411" s="10">
        <v>410</v>
      </c>
      <c r="B411" s="11">
        <v>0</v>
      </c>
      <c r="C411" s="11">
        <v>3</v>
      </c>
      <c r="D411" s="11" t="s">
        <v>771</v>
      </c>
      <c r="E411" s="11" t="s">
        <v>14</v>
      </c>
      <c r="F411" s="11"/>
      <c r="G411" s="11">
        <v>3</v>
      </c>
      <c r="H411" s="11">
        <v>1</v>
      </c>
      <c r="I411" s="11" t="s">
        <v>349</v>
      </c>
      <c r="J411" s="12">
        <v>25.466699999999999</v>
      </c>
    </row>
    <row r="412" spans="1:10" x14ac:dyDescent="0.3">
      <c r="A412" s="7">
        <v>411</v>
      </c>
      <c r="B412" s="8">
        <v>0</v>
      </c>
      <c r="C412" s="8">
        <v>3</v>
      </c>
      <c r="D412" s="8" t="s">
        <v>772</v>
      </c>
      <c r="E412" s="8" t="s">
        <v>11</v>
      </c>
      <c r="F412" s="8"/>
      <c r="G412" s="8">
        <v>0</v>
      </c>
      <c r="H412" s="8">
        <v>0</v>
      </c>
      <c r="I412" s="8" t="s">
        <v>773</v>
      </c>
      <c r="J412" s="9">
        <v>7.8958000000000004</v>
      </c>
    </row>
    <row r="413" spans="1:10" x14ac:dyDescent="0.3">
      <c r="A413" s="10">
        <v>412</v>
      </c>
      <c r="B413" s="11">
        <v>0</v>
      </c>
      <c r="C413" s="11">
        <v>3</v>
      </c>
      <c r="D413" s="11" t="s">
        <v>774</v>
      </c>
      <c r="E413" s="11" t="s">
        <v>11</v>
      </c>
      <c r="F413" s="11"/>
      <c r="G413" s="11">
        <v>0</v>
      </c>
      <c r="H413" s="11">
        <v>0</v>
      </c>
      <c r="I413" s="11" t="s">
        <v>775</v>
      </c>
      <c r="J413" s="12">
        <v>6.8582999999999998</v>
      </c>
    </row>
    <row r="414" spans="1:10" x14ac:dyDescent="0.3">
      <c r="A414" s="7">
        <v>413</v>
      </c>
      <c r="B414" s="8">
        <v>1</v>
      </c>
      <c r="C414" s="8">
        <v>1</v>
      </c>
      <c r="D414" s="8" t="s">
        <v>776</v>
      </c>
      <c r="E414" s="8" t="s">
        <v>14</v>
      </c>
      <c r="F414" s="8">
        <v>33</v>
      </c>
      <c r="G414" s="8">
        <v>1</v>
      </c>
      <c r="H414" s="8">
        <v>0</v>
      </c>
      <c r="I414" s="8" t="s">
        <v>477</v>
      </c>
      <c r="J414" s="9">
        <v>90</v>
      </c>
    </row>
    <row r="415" spans="1:10" x14ac:dyDescent="0.3">
      <c r="A415" s="10">
        <v>414</v>
      </c>
      <c r="B415" s="11">
        <v>0</v>
      </c>
      <c r="C415" s="11">
        <v>2</v>
      </c>
      <c r="D415" s="11" t="s">
        <v>777</v>
      </c>
      <c r="E415" s="11" t="s">
        <v>11</v>
      </c>
      <c r="F415" s="11"/>
      <c r="G415" s="11">
        <v>0</v>
      </c>
      <c r="H415" s="11">
        <v>0</v>
      </c>
      <c r="I415" s="11" t="s">
        <v>537</v>
      </c>
      <c r="J415" s="12">
        <v>0</v>
      </c>
    </row>
    <row r="416" spans="1:10" x14ac:dyDescent="0.3">
      <c r="A416" s="7">
        <v>415</v>
      </c>
      <c r="B416" s="8">
        <v>1</v>
      </c>
      <c r="C416" s="8">
        <v>3</v>
      </c>
      <c r="D416" s="8" t="s">
        <v>778</v>
      </c>
      <c r="E416" s="8" t="s">
        <v>11</v>
      </c>
      <c r="F416" s="8">
        <v>44</v>
      </c>
      <c r="G416" s="8">
        <v>0</v>
      </c>
      <c r="H416" s="8">
        <v>0</v>
      </c>
      <c r="I416" s="8" t="s">
        <v>779</v>
      </c>
      <c r="J416" s="9">
        <v>7.9249999999999998</v>
      </c>
    </row>
    <row r="417" spans="1:10" x14ac:dyDescent="0.3">
      <c r="A417" s="10">
        <v>416</v>
      </c>
      <c r="B417" s="11">
        <v>0</v>
      </c>
      <c r="C417" s="11">
        <v>3</v>
      </c>
      <c r="D417" s="11" t="s">
        <v>780</v>
      </c>
      <c r="E417" s="11" t="s">
        <v>14</v>
      </c>
      <c r="F417" s="11"/>
      <c r="G417" s="11">
        <v>0</v>
      </c>
      <c r="H417" s="11">
        <v>0</v>
      </c>
      <c r="I417" s="11" t="s">
        <v>781</v>
      </c>
      <c r="J417" s="12">
        <v>8.0500000000000007</v>
      </c>
    </row>
    <row r="418" spans="1:10" x14ac:dyDescent="0.3">
      <c r="A418" s="7">
        <v>417</v>
      </c>
      <c r="B418" s="8">
        <v>1</v>
      </c>
      <c r="C418" s="8">
        <v>2</v>
      </c>
      <c r="D418" s="8" t="s">
        <v>782</v>
      </c>
      <c r="E418" s="8" t="s">
        <v>14</v>
      </c>
      <c r="F418" s="8">
        <v>34</v>
      </c>
      <c r="G418" s="8">
        <v>1</v>
      </c>
      <c r="H418" s="8">
        <v>1</v>
      </c>
      <c r="I418" s="8" t="s">
        <v>783</v>
      </c>
      <c r="J418" s="9">
        <v>32.5</v>
      </c>
    </row>
    <row r="419" spans="1:10" x14ac:dyDescent="0.3">
      <c r="A419" s="10">
        <v>418</v>
      </c>
      <c r="B419" s="11">
        <v>1</v>
      </c>
      <c r="C419" s="11">
        <v>2</v>
      </c>
      <c r="D419" s="11" t="s">
        <v>784</v>
      </c>
      <c r="E419" s="11" t="s">
        <v>14</v>
      </c>
      <c r="F419" s="11">
        <v>18</v>
      </c>
      <c r="G419" s="11">
        <v>0</v>
      </c>
      <c r="H419" s="11">
        <v>2</v>
      </c>
      <c r="I419" s="11" t="s">
        <v>785</v>
      </c>
      <c r="J419" s="12">
        <v>13</v>
      </c>
    </row>
    <row r="420" spans="1:10" x14ac:dyDescent="0.3">
      <c r="A420" s="7">
        <v>419</v>
      </c>
      <c r="B420" s="8">
        <v>0</v>
      </c>
      <c r="C420" s="8">
        <v>2</v>
      </c>
      <c r="D420" s="8" t="s">
        <v>786</v>
      </c>
      <c r="E420" s="8" t="s">
        <v>11</v>
      </c>
      <c r="F420" s="8">
        <v>30</v>
      </c>
      <c r="G420" s="8">
        <v>0</v>
      </c>
      <c r="H420" s="8">
        <v>0</v>
      </c>
      <c r="I420" s="8" t="s">
        <v>787</v>
      </c>
      <c r="J420" s="9">
        <v>13</v>
      </c>
    </row>
    <row r="421" spans="1:10" x14ac:dyDescent="0.3">
      <c r="A421" s="10">
        <v>420</v>
      </c>
      <c r="B421" s="11">
        <v>0</v>
      </c>
      <c r="C421" s="11">
        <v>3</v>
      </c>
      <c r="D421" s="11" t="s">
        <v>788</v>
      </c>
      <c r="E421" s="11" t="s">
        <v>14</v>
      </c>
      <c r="F421" s="11">
        <v>10</v>
      </c>
      <c r="G421" s="11">
        <v>0</v>
      </c>
      <c r="H421" s="11">
        <v>2</v>
      </c>
      <c r="I421" s="11" t="s">
        <v>789</v>
      </c>
      <c r="J421" s="12">
        <v>24.15</v>
      </c>
    </row>
    <row r="422" spans="1:10" x14ac:dyDescent="0.3">
      <c r="A422" s="7">
        <v>421</v>
      </c>
      <c r="B422" s="8">
        <v>0</v>
      </c>
      <c r="C422" s="8">
        <v>3</v>
      </c>
      <c r="D422" s="8" t="s">
        <v>790</v>
      </c>
      <c r="E422" s="8" t="s">
        <v>11</v>
      </c>
      <c r="F422" s="8"/>
      <c r="G422" s="8">
        <v>0</v>
      </c>
      <c r="H422" s="8">
        <v>0</v>
      </c>
      <c r="I422" s="8" t="s">
        <v>791</v>
      </c>
      <c r="J422" s="9">
        <v>7.8958000000000004</v>
      </c>
    </row>
    <row r="423" spans="1:10" x14ac:dyDescent="0.3">
      <c r="A423" s="10">
        <v>422</v>
      </c>
      <c r="B423" s="11">
        <v>0</v>
      </c>
      <c r="C423" s="11">
        <v>3</v>
      </c>
      <c r="D423" s="11" t="s">
        <v>792</v>
      </c>
      <c r="E423" s="11" t="s">
        <v>11</v>
      </c>
      <c r="F423" s="11">
        <v>21</v>
      </c>
      <c r="G423" s="11">
        <v>0</v>
      </c>
      <c r="H423" s="11">
        <v>0</v>
      </c>
      <c r="I423" s="11" t="s">
        <v>793</v>
      </c>
      <c r="J423" s="12">
        <v>7.7332999999999998</v>
      </c>
    </row>
    <row r="424" spans="1:10" x14ac:dyDescent="0.3">
      <c r="A424" s="7">
        <v>423</v>
      </c>
      <c r="B424" s="8">
        <v>0</v>
      </c>
      <c r="C424" s="8">
        <v>3</v>
      </c>
      <c r="D424" s="8" t="s">
        <v>794</v>
      </c>
      <c r="E424" s="8" t="s">
        <v>11</v>
      </c>
      <c r="F424" s="8">
        <v>29</v>
      </c>
      <c r="G424" s="8">
        <v>0</v>
      </c>
      <c r="H424" s="8">
        <v>0</v>
      </c>
      <c r="I424" s="8" t="s">
        <v>795</v>
      </c>
      <c r="J424" s="9">
        <v>7.875</v>
      </c>
    </row>
    <row r="425" spans="1:10" x14ac:dyDescent="0.3">
      <c r="A425" s="10">
        <v>424</v>
      </c>
      <c r="B425" s="11">
        <v>0</v>
      </c>
      <c r="C425" s="11">
        <v>3</v>
      </c>
      <c r="D425" s="11" t="s">
        <v>796</v>
      </c>
      <c r="E425" s="11" t="s">
        <v>14</v>
      </c>
      <c r="F425" s="11">
        <v>28</v>
      </c>
      <c r="G425" s="11">
        <v>1</v>
      </c>
      <c r="H425" s="11">
        <v>1</v>
      </c>
      <c r="I425" s="11" t="s">
        <v>797</v>
      </c>
      <c r="J425" s="12">
        <v>14.4</v>
      </c>
    </row>
    <row r="426" spans="1:10" x14ac:dyDescent="0.3">
      <c r="A426" s="7">
        <v>425</v>
      </c>
      <c r="B426" s="8">
        <v>0</v>
      </c>
      <c r="C426" s="8">
        <v>3</v>
      </c>
      <c r="D426" s="8" t="s">
        <v>798</v>
      </c>
      <c r="E426" s="8" t="s">
        <v>11</v>
      </c>
      <c r="F426" s="8">
        <v>18</v>
      </c>
      <c r="G426" s="8">
        <v>1</v>
      </c>
      <c r="H426" s="8">
        <v>1</v>
      </c>
      <c r="I426" s="8" t="s">
        <v>494</v>
      </c>
      <c r="J426" s="9">
        <v>20.212499999999999</v>
      </c>
    </row>
    <row r="427" spans="1:10" x14ac:dyDescent="0.3">
      <c r="A427" s="10">
        <v>426</v>
      </c>
      <c r="B427" s="11">
        <v>0</v>
      </c>
      <c r="C427" s="11">
        <v>3</v>
      </c>
      <c r="D427" s="11" t="s">
        <v>799</v>
      </c>
      <c r="E427" s="11" t="s">
        <v>11</v>
      </c>
      <c r="F427" s="11"/>
      <c r="G427" s="11">
        <v>0</v>
      </c>
      <c r="H427" s="11">
        <v>0</v>
      </c>
      <c r="I427" s="11" t="s">
        <v>800</v>
      </c>
      <c r="J427" s="12">
        <v>7.25</v>
      </c>
    </row>
    <row r="428" spans="1:10" x14ac:dyDescent="0.3">
      <c r="A428" s="7">
        <v>427</v>
      </c>
      <c r="B428" s="8">
        <v>1</v>
      </c>
      <c r="C428" s="8">
        <v>2</v>
      </c>
      <c r="D428" s="8" t="s">
        <v>801</v>
      </c>
      <c r="E428" s="8" t="s">
        <v>14</v>
      </c>
      <c r="F428" s="8">
        <v>28</v>
      </c>
      <c r="G428" s="8">
        <v>1</v>
      </c>
      <c r="H428" s="8">
        <v>0</v>
      </c>
      <c r="I428" s="8" t="s">
        <v>802</v>
      </c>
      <c r="J428" s="9">
        <v>26</v>
      </c>
    </row>
    <row r="429" spans="1:10" x14ac:dyDescent="0.3">
      <c r="A429" s="10">
        <v>428</v>
      </c>
      <c r="B429" s="11">
        <v>1</v>
      </c>
      <c r="C429" s="11">
        <v>2</v>
      </c>
      <c r="D429" s="11" t="s">
        <v>803</v>
      </c>
      <c r="E429" s="11" t="s">
        <v>14</v>
      </c>
      <c r="F429" s="11">
        <v>19</v>
      </c>
      <c r="G429" s="11">
        <v>0</v>
      </c>
      <c r="H429" s="11">
        <v>0</v>
      </c>
      <c r="I429" s="11" t="s">
        <v>804</v>
      </c>
      <c r="J429" s="12">
        <v>26</v>
      </c>
    </row>
    <row r="430" spans="1:10" x14ac:dyDescent="0.3">
      <c r="A430" s="7">
        <v>429</v>
      </c>
      <c r="B430" s="8">
        <v>0</v>
      </c>
      <c r="C430" s="8">
        <v>3</v>
      </c>
      <c r="D430" s="8" t="s">
        <v>805</v>
      </c>
      <c r="E430" s="8" t="s">
        <v>11</v>
      </c>
      <c r="F430" s="8"/>
      <c r="G430" s="8">
        <v>0</v>
      </c>
      <c r="H430" s="8">
        <v>0</v>
      </c>
      <c r="I430" s="8" t="s">
        <v>806</v>
      </c>
      <c r="J430" s="9">
        <v>7.75</v>
      </c>
    </row>
    <row r="431" spans="1:10" x14ac:dyDescent="0.3">
      <c r="A431" s="10">
        <v>430</v>
      </c>
      <c r="B431" s="11">
        <v>1</v>
      </c>
      <c r="C431" s="11">
        <v>3</v>
      </c>
      <c r="D431" s="11" t="s">
        <v>807</v>
      </c>
      <c r="E431" s="11" t="s">
        <v>11</v>
      </c>
      <c r="F431" s="11">
        <v>32</v>
      </c>
      <c r="G431" s="11">
        <v>0</v>
      </c>
      <c r="H431" s="11">
        <v>0</v>
      </c>
      <c r="I431" s="11" t="s">
        <v>808</v>
      </c>
      <c r="J431" s="12">
        <v>8.0500000000000007</v>
      </c>
    </row>
    <row r="432" spans="1:10" x14ac:dyDescent="0.3">
      <c r="A432" s="7">
        <v>431</v>
      </c>
      <c r="B432" s="8">
        <v>1</v>
      </c>
      <c r="C432" s="8">
        <v>1</v>
      </c>
      <c r="D432" s="8" t="s">
        <v>809</v>
      </c>
      <c r="E432" s="8" t="s">
        <v>11</v>
      </c>
      <c r="F432" s="8">
        <v>28</v>
      </c>
      <c r="G432" s="8">
        <v>0</v>
      </c>
      <c r="H432" s="8">
        <v>0</v>
      </c>
      <c r="I432" s="8" t="s">
        <v>810</v>
      </c>
      <c r="J432" s="9">
        <v>26.55</v>
      </c>
    </row>
    <row r="433" spans="1:10" x14ac:dyDescent="0.3">
      <c r="A433" s="10">
        <v>432</v>
      </c>
      <c r="B433" s="11">
        <v>1</v>
      </c>
      <c r="C433" s="11">
        <v>3</v>
      </c>
      <c r="D433" s="11" t="s">
        <v>811</v>
      </c>
      <c r="E433" s="11" t="s">
        <v>14</v>
      </c>
      <c r="F433" s="11"/>
      <c r="G433" s="11">
        <v>1</v>
      </c>
      <c r="H433" s="11">
        <v>0</v>
      </c>
      <c r="I433" s="11" t="s">
        <v>812</v>
      </c>
      <c r="J433" s="12">
        <v>16.100000000000001</v>
      </c>
    </row>
    <row r="434" spans="1:10" x14ac:dyDescent="0.3">
      <c r="A434" s="7">
        <v>433</v>
      </c>
      <c r="B434" s="8">
        <v>1</v>
      </c>
      <c r="C434" s="8">
        <v>2</v>
      </c>
      <c r="D434" s="8" t="s">
        <v>813</v>
      </c>
      <c r="E434" s="8" t="s">
        <v>14</v>
      </c>
      <c r="F434" s="8">
        <v>42</v>
      </c>
      <c r="G434" s="8">
        <v>1</v>
      </c>
      <c r="H434" s="8">
        <v>0</v>
      </c>
      <c r="I434" s="8" t="s">
        <v>814</v>
      </c>
      <c r="J434" s="9">
        <v>26</v>
      </c>
    </row>
    <row r="435" spans="1:10" x14ac:dyDescent="0.3">
      <c r="A435" s="10">
        <v>434</v>
      </c>
      <c r="B435" s="11">
        <v>0</v>
      </c>
      <c r="C435" s="11">
        <v>3</v>
      </c>
      <c r="D435" s="11" t="s">
        <v>815</v>
      </c>
      <c r="E435" s="11" t="s">
        <v>11</v>
      </c>
      <c r="F435" s="11">
        <v>17</v>
      </c>
      <c r="G435" s="11">
        <v>0</v>
      </c>
      <c r="H435" s="11">
        <v>0</v>
      </c>
      <c r="I435" s="11" t="s">
        <v>816</v>
      </c>
      <c r="J435" s="12">
        <v>7.125</v>
      </c>
    </row>
    <row r="436" spans="1:10" x14ac:dyDescent="0.3">
      <c r="A436" s="7">
        <v>435</v>
      </c>
      <c r="B436" s="8">
        <v>0</v>
      </c>
      <c r="C436" s="8">
        <v>1</v>
      </c>
      <c r="D436" s="8" t="s">
        <v>817</v>
      </c>
      <c r="E436" s="8" t="s">
        <v>11</v>
      </c>
      <c r="F436" s="8">
        <v>50</v>
      </c>
      <c r="G436" s="8">
        <v>1</v>
      </c>
      <c r="H436" s="8">
        <v>0</v>
      </c>
      <c r="I436" s="8" t="s">
        <v>818</v>
      </c>
      <c r="J436" s="9">
        <v>55.9</v>
      </c>
    </row>
    <row r="437" spans="1:10" x14ac:dyDescent="0.3">
      <c r="A437" s="10">
        <v>436</v>
      </c>
      <c r="B437" s="11">
        <v>1</v>
      </c>
      <c r="C437" s="11">
        <v>1</v>
      </c>
      <c r="D437" s="11" t="s">
        <v>819</v>
      </c>
      <c r="E437" s="11" t="s">
        <v>14</v>
      </c>
      <c r="F437" s="11">
        <v>14</v>
      </c>
      <c r="G437" s="11">
        <v>1</v>
      </c>
      <c r="H437" s="11">
        <v>2</v>
      </c>
      <c r="I437" s="11" t="s">
        <v>737</v>
      </c>
      <c r="J437" s="12">
        <v>120</v>
      </c>
    </row>
    <row r="438" spans="1:10" x14ac:dyDescent="0.3">
      <c r="A438" s="7">
        <v>437</v>
      </c>
      <c r="B438" s="8">
        <v>0</v>
      </c>
      <c r="C438" s="8">
        <v>3</v>
      </c>
      <c r="D438" s="8" t="s">
        <v>820</v>
      </c>
      <c r="E438" s="8" t="s">
        <v>14</v>
      </c>
      <c r="F438" s="8">
        <v>21</v>
      </c>
      <c r="G438" s="8">
        <v>2</v>
      </c>
      <c r="H438" s="8">
        <v>2</v>
      </c>
      <c r="I438" s="8" t="s">
        <v>183</v>
      </c>
      <c r="J438" s="9">
        <v>34.375</v>
      </c>
    </row>
    <row r="439" spans="1:10" x14ac:dyDescent="0.3">
      <c r="A439" s="10">
        <v>438</v>
      </c>
      <c r="B439" s="11">
        <v>1</v>
      </c>
      <c r="C439" s="11">
        <v>2</v>
      </c>
      <c r="D439" s="11" t="s">
        <v>821</v>
      </c>
      <c r="E439" s="11" t="s">
        <v>14</v>
      </c>
      <c r="F439" s="11">
        <v>24</v>
      </c>
      <c r="G439" s="11">
        <v>2</v>
      </c>
      <c r="H439" s="11">
        <v>3</v>
      </c>
      <c r="I439" s="11" t="s">
        <v>768</v>
      </c>
      <c r="J439" s="12">
        <v>18.75</v>
      </c>
    </row>
    <row r="440" spans="1:10" x14ac:dyDescent="0.3">
      <c r="A440" s="7">
        <v>439</v>
      </c>
      <c r="B440" s="8">
        <v>0</v>
      </c>
      <c r="C440" s="8">
        <v>1</v>
      </c>
      <c r="D440" s="8" t="s">
        <v>822</v>
      </c>
      <c r="E440" s="8" t="s">
        <v>11</v>
      </c>
      <c r="F440" s="8">
        <v>64</v>
      </c>
      <c r="G440" s="8">
        <v>1</v>
      </c>
      <c r="H440" s="8">
        <v>4</v>
      </c>
      <c r="I440" s="8" t="s">
        <v>66</v>
      </c>
      <c r="J440" s="9">
        <v>263</v>
      </c>
    </row>
    <row r="441" spans="1:10" x14ac:dyDescent="0.3">
      <c r="A441" s="10">
        <v>440</v>
      </c>
      <c r="B441" s="11">
        <v>0</v>
      </c>
      <c r="C441" s="11">
        <v>2</v>
      </c>
      <c r="D441" s="11" t="s">
        <v>823</v>
      </c>
      <c r="E441" s="11" t="s">
        <v>11</v>
      </c>
      <c r="F441" s="11">
        <v>31</v>
      </c>
      <c r="G441" s="11">
        <v>0</v>
      </c>
      <c r="H441" s="11">
        <v>0</v>
      </c>
      <c r="I441" s="11" t="s">
        <v>824</v>
      </c>
      <c r="J441" s="12">
        <v>10.5</v>
      </c>
    </row>
    <row r="442" spans="1:10" x14ac:dyDescent="0.3">
      <c r="A442" s="7">
        <v>441</v>
      </c>
      <c r="B442" s="8">
        <v>1</v>
      </c>
      <c r="C442" s="8">
        <v>2</v>
      </c>
      <c r="D442" s="8" t="s">
        <v>825</v>
      </c>
      <c r="E442" s="8" t="s">
        <v>14</v>
      </c>
      <c r="F442" s="8">
        <v>45</v>
      </c>
      <c r="G442" s="8">
        <v>1</v>
      </c>
      <c r="H442" s="8">
        <v>1</v>
      </c>
      <c r="I442" s="8" t="s">
        <v>607</v>
      </c>
      <c r="J442" s="9">
        <v>26.25</v>
      </c>
    </row>
    <row r="443" spans="1:10" x14ac:dyDescent="0.3">
      <c r="A443" s="10">
        <v>442</v>
      </c>
      <c r="B443" s="11">
        <v>0</v>
      </c>
      <c r="C443" s="11">
        <v>3</v>
      </c>
      <c r="D443" s="11" t="s">
        <v>826</v>
      </c>
      <c r="E443" s="11" t="s">
        <v>11</v>
      </c>
      <c r="F443" s="11">
        <v>20</v>
      </c>
      <c r="G443" s="11">
        <v>0</v>
      </c>
      <c r="H443" s="11">
        <v>0</v>
      </c>
      <c r="I443" s="11" t="s">
        <v>827</v>
      </c>
      <c r="J443" s="12">
        <v>9.5</v>
      </c>
    </row>
    <row r="444" spans="1:10" x14ac:dyDescent="0.3">
      <c r="A444" s="7">
        <v>443</v>
      </c>
      <c r="B444" s="8">
        <v>0</v>
      </c>
      <c r="C444" s="8">
        <v>3</v>
      </c>
      <c r="D444" s="8" t="s">
        <v>828</v>
      </c>
      <c r="E444" s="8" t="s">
        <v>11</v>
      </c>
      <c r="F444" s="8">
        <v>25</v>
      </c>
      <c r="G444" s="8">
        <v>1</v>
      </c>
      <c r="H444" s="8">
        <v>0</v>
      </c>
      <c r="I444" s="8" t="s">
        <v>829</v>
      </c>
      <c r="J444" s="9">
        <v>7.7750000000000004</v>
      </c>
    </row>
    <row r="445" spans="1:10" x14ac:dyDescent="0.3">
      <c r="A445" s="10">
        <v>444</v>
      </c>
      <c r="B445" s="11">
        <v>1</v>
      </c>
      <c r="C445" s="11">
        <v>2</v>
      </c>
      <c r="D445" s="11" t="s">
        <v>830</v>
      </c>
      <c r="E445" s="11" t="s">
        <v>14</v>
      </c>
      <c r="F445" s="11">
        <v>28</v>
      </c>
      <c r="G445" s="11">
        <v>0</v>
      </c>
      <c r="H445" s="11">
        <v>0</v>
      </c>
      <c r="I445" s="11" t="s">
        <v>831</v>
      </c>
      <c r="J445" s="12">
        <v>13</v>
      </c>
    </row>
    <row r="446" spans="1:10" x14ac:dyDescent="0.3">
      <c r="A446" s="7">
        <v>445</v>
      </c>
      <c r="B446" s="8">
        <v>1</v>
      </c>
      <c r="C446" s="8">
        <v>3</v>
      </c>
      <c r="D446" s="8" t="s">
        <v>832</v>
      </c>
      <c r="E446" s="8" t="s">
        <v>11</v>
      </c>
      <c r="F446" s="8"/>
      <c r="G446" s="8">
        <v>0</v>
      </c>
      <c r="H446" s="8">
        <v>0</v>
      </c>
      <c r="I446" s="8" t="s">
        <v>833</v>
      </c>
      <c r="J446" s="9">
        <v>8.1125000000000007</v>
      </c>
    </row>
    <row r="447" spans="1:10" x14ac:dyDescent="0.3">
      <c r="A447" s="10">
        <v>446</v>
      </c>
      <c r="B447" s="11">
        <v>1</v>
      </c>
      <c r="C447" s="11">
        <v>1</v>
      </c>
      <c r="D447" s="11" t="s">
        <v>834</v>
      </c>
      <c r="E447" s="11" t="s">
        <v>11</v>
      </c>
      <c r="F447" s="11">
        <v>4</v>
      </c>
      <c r="G447" s="11">
        <v>0</v>
      </c>
      <c r="H447" s="11">
        <v>2</v>
      </c>
      <c r="I447" s="11" t="s">
        <v>835</v>
      </c>
      <c r="J447" s="12">
        <v>81.8583</v>
      </c>
    </row>
    <row r="448" spans="1:10" x14ac:dyDescent="0.3">
      <c r="A448" s="7">
        <v>447</v>
      </c>
      <c r="B448" s="8">
        <v>1</v>
      </c>
      <c r="C448" s="8">
        <v>2</v>
      </c>
      <c r="D448" s="8" t="s">
        <v>836</v>
      </c>
      <c r="E448" s="8" t="s">
        <v>14</v>
      </c>
      <c r="F448" s="8">
        <v>13</v>
      </c>
      <c r="G448" s="8">
        <v>0</v>
      </c>
      <c r="H448" s="8">
        <v>1</v>
      </c>
      <c r="I448" s="8" t="s">
        <v>527</v>
      </c>
      <c r="J448" s="9">
        <v>19.5</v>
      </c>
    </row>
    <row r="449" spans="1:10" x14ac:dyDescent="0.3">
      <c r="A449" s="10">
        <v>448</v>
      </c>
      <c r="B449" s="11">
        <v>1</v>
      </c>
      <c r="C449" s="11">
        <v>1</v>
      </c>
      <c r="D449" s="11" t="s">
        <v>837</v>
      </c>
      <c r="E449" s="11" t="s">
        <v>11</v>
      </c>
      <c r="F449" s="11">
        <v>34</v>
      </c>
      <c r="G449" s="11">
        <v>0</v>
      </c>
      <c r="H449" s="11">
        <v>0</v>
      </c>
      <c r="I449" s="11" t="s">
        <v>838</v>
      </c>
      <c r="J449" s="12">
        <v>26.55</v>
      </c>
    </row>
    <row r="450" spans="1:10" x14ac:dyDescent="0.3">
      <c r="A450" s="7">
        <v>449</v>
      </c>
      <c r="B450" s="8">
        <v>1</v>
      </c>
      <c r="C450" s="8">
        <v>3</v>
      </c>
      <c r="D450" s="8" t="s">
        <v>839</v>
      </c>
      <c r="E450" s="8" t="s">
        <v>14</v>
      </c>
      <c r="F450" s="8">
        <v>5</v>
      </c>
      <c r="G450" s="8">
        <v>2</v>
      </c>
      <c r="H450" s="8">
        <v>1</v>
      </c>
      <c r="I450" s="8" t="s">
        <v>840</v>
      </c>
      <c r="J450" s="9">
        <v>19.258299999999998</v>
      </c>
    </row>
    <row r="451" spans="1:10" x14ac:dyDescent="0.3">
      <c r="A451" s="10">
        <v>450</v>
      </c>
      <c r="B451" s="11">
        <v>1</v>
      </c>
      <c r="C451" s="11">
        <v>1</v>
      </c>
      <c r="D451" s="11" t="s">
        <v>841</v>
      </c>
      <c r="E451" s="11" t="s">
        <v>11</v>
      </c>
      <c r="F451" s="11">
        <v>52</v>
      </c>
      <c r="G451" s="11">
        <v>0</v>
      </c>
      <c r="H451" s="11">
        <v>0</v>
      </c>
      <c r="I451" s="11" t="s">
        <v>842</v>
      </c>
      <c r="J451" s="12">
        <v>30.5</v>
      </c>
    </row>
    <row r="452" spans="1:10" x14ac:dyDescent="0.3">
      <c r="A452" s="7">
        <v>451</v>
      </c>
      <c r="B452" s="8">
        <v>0</v>
      </c>
      <c r="C452" s="8">
        <v>2</v>
      </c>
      <c r="D452" s="8" t="s">
        <v>843</v>
      </c>
      <c r="E452" s="8" t="s">
        <v>11</v>
      </c>
      <c r="F452" s="8">
        <v>36</v>
      </c>
      <c r="G452" s="8">
        <v>1</v>
      </c>
      <c r="H452" s="8">
        <v>2</v>
      </c>
      <c r="I452" s="8" t="s">
        <v>128</v>
      </c>
      <c r="J452" s="9">
        <v>27.75</v>
      </c>
    </row>
    <row r="453" spans="1:10" x14ac:dyDescent="0.3">
      <c r="A453" s="10">
        <v>452</v>
      </c>
      <c r="B453" s="11">
        <v>0</v>
      </c>
      <c r="C453" s="11">
        <v>3</v>
      </c>
      <c r="D453" s="11" t="s">
        <v>844</v>
      </c>
      <c r="E453" s="11" t="s">
        <v>11</v>
      </c>
      <c r="F453" s="11"/>
      <c r="G453" s="11">
        <v>1</v>
      </c>
      <c r="H453" s="11">
        <v>0</v>
      </c>
      <c r="I453" s="11" t="s">
        <v>845</v>
      </c>
      <c r="J453" s="12">
        <v>19.966699999999999</v>
      </c>
    </row>
    <row r="454" spans="1:10" x14ac:dyDescent="0.3">
      <c r="A454" s="7">
        <v>453</v>
      </c>
      <c r="B454" s="8">
        <v>0</v>
      </c>
      <c r="C454" s="8">
        <v>1</v>
      </c>
      <c r="D454" s="8" t="s">
        <v>846</v>
      </c>
      <c r="E454" s="8" t="s">
        <v>11</v>
      </c>
      <c r="F454" s="8">
        <v>30</v>
      </c>
      <c r="G454" s="8">
        <v>0</v>
      </c>
      <c r="H454" s="8">
        <v>0</v>
      </c>
      <c r="I454" s="8" t="s">
        <v>847</v>
      </c>
      <c r="J454" s="9">
        <v>27.75</v>
      </c>
    </row>
    <row r="455" spans="1:10" x14ac:dyDescent="0.3">
      <c r="A455" s="10">
        <v>454</v>
      </c>
      <c r="B455" s="11">
        <v>1</v>
      </c>
      <c r="C455" s="11">
        <v>1</v>
      </c>
      <c r="D455" s="11" t="s">
        <v>848</v>
      </c>
      <c r="E455" s="11" t="s">
        <v>11</v>
      </c>
      <c r="F455" s="11">
        <v>49</v>
      </c>
      <c r="G455" s="11">
        <v>1</v>
      </c>
      <c r="H455" s="11">
        <v>0</v>
      </c>
      <c r="I455" s="11" t="s">
        <v>849</v>
      </c>
      <c r="J455" s="12">
        <v>89.104200000000006</v>
      </c>
    </row>
    <row r="456" spans="1:10" x14ac:dyDescent="0.3">
      <c r="A456" s="7">
        <v>455</v>
      </c>
      <c r="B456" s="8">
        <v>0</v>
      </c>
      <c r="C456" s="8">
        <v>3</v>
      </c>
      <c r="D456" s="8" t="s">
        <v>850</v>
      </c>
      <c r="E456" s="8" t="s">
        <v>11</v>
      </c>
      <c r="F456" s="8"/>
      <c r="G456" s="8">
        <v>0</v>
      </c>
      <c r="H456" s="8">
        <v>0</v>
      </c>
      <c r="I456" s="8" t="s">
        <v>851</v>
      </c>
      <c r="J456" s="9">
        <v>8.0500000000000007</v>
      </c>
    </row>
    <row r="457" spans="1:10" x14ac:dyDescent="0.3">
      <c r="A457" s="10">
        <v>456</v>
      </c>
      <c r="B457" s="11">
        <v>1</v>
      </c>
      <c r="C457" s="11">
        <v>3</v>
      </c>
      <c r="D457" s="11" t="s">
        <v>852</v>
      </c>
      <c r="E457" s="11" t="s">
        <v>11</v>
      </c>
      <c r="F457" s="11">
        <v>29</v>
      </c>
      <c r="G457" s="11">
        <v>0</v>
      </c>
      <c r="H457" s="11">
        <v>0</v>
      </c>
      <c r="I457" s="11" t="s">
        <v>853</v>
      </c>
      <c r="J457" s="12">
        <v>7.8958000000000004</v>
      </c>
    </row>
    <row r="458" spans="1:10" x14ac:dyDescent="0.3">
      <c r="A458" s="7">
        <v>457</v>
      </c>
      <c r="B458" s="8">
        <v>0</v>
      </c>
      <c r="C458" s="8">
        <v>1</v>
      </c>
      <c r="D458" s="8" t="s">
        <v>854</v>
      </c>
      <c r="E458" s="8" t="s">
        <v>11</v>
      </c>
      <c r="F458" s="8">
        <v>65</v>
      </c>
      <c r="G458" s="8">
        <v>0</v>
      </c>
      <c r="H458" s="8">
        <v>0</v>
      </c>
      <c r="I458" s="8" t="s">
        <v>855</v>
      </c>
      <c r="J458" s="9">
        <v>26.55</v>
      </c>
    </row>
    <row r="459" spans="1:10" x14ac:dyDescent="0.3">
      <c r="A459" s="10">
        <v>458</v>
      </c>
      <c r="B459" s="11">
        <v>1</v>
      </c>
      <c r="C459" s="11">
        <v>1</v>
      </c>
      <c r="D459" s="11" t="s">
        <v>856</v>
      </c>
      <c r="E459" s="11" t="s">
        <v>14</v>
      </c>
      <c r="F459" s="11"/>
      <c r="G459" s="11">
        <v>1</v>
      </c>
      <c r="H459" s="11">
        <v>0</v>
      </c>
      <c r="I459" s="11" t="s">
        <v>857</v>
      </c>
      <c r="J459" s="12">
        <v>51.862499999999997</v>
      </c>
    </row>
    <row r="460" spans="1:10" x14ac:dyDescent="0.3">
      <c r="A460" s="7">
        <v>459</v>
      </c>
      <c r="B460" s="8">
        <v>1</v>
      </c>
      <c r="C460" s="8">
        <v>2</v>
      </c>
      <c r="D460" s="8" t="s">
        <v>858</v>
      </c>
      <c r="E460" s="8" t="s">
        <v>14</v>
      </c>
      <c r="F460" s="8">
        <v>50</v>
      </c>
      <c r="G460" s="8">
        <v>0</v>
      </c>
      <c r="H460" s="8">
        <v>0</v>
      </c>
      <c r="I460" s="8" t="s">
        <v>859</v>
      </c>
      <c r="J460" s="9">
        <v>10.5</v>
      </c>
    </row>
    <row r="461" spans="1:10" x14ac:dyDescent="0.3">
      <c r="A461" s="10">
        <v>460</v>
      </c>
      <c r="B461" s="11">
        <v>0</v>
      </c>
      <c r="C461" s="11">
        <v>3</v>
      </c>
      <c r="D461" s="11" t="s">
        <v>860</v>
      </c>
      <c r="E461" s="11" t="s">
        <v>11</v>
      </c>
      <c r="F461" s="11"/>
      <c r="G461" s="11">
        <v>0</v>
      </c>
      <c r="H461" s="11">
        <v>0</v>
      </c>
      <c r="I461" s="11" t="s">
        <v>861</v>
      </c>
      <c r="J461" s="12">
        <v>7.75</v>
      </c>
    </row>
    <row r="462" spans="1:10" x14ac:dyDescent="0.3">
      <c r="A462" s="7">
        <v>461</v>
      </c>
      <c r="B462" s="8">
        <v>1</v>
      </c>
      <c r="C462" s="8">
        <v>1</v>
      </c>
      <c r="D462" s="8" t="s">
        <v>862</v>
      </c>
      <c r="E462" s="8" t="s">
        <v>11</v>
      </c>
      <c r="F462" s="8">
        <v>48</v>
      </c>
      <c r="G462" s="8">
        <v>0</v>
      </c>
      <c r="H462" s="8">
        <v>0</v>
      </c>
      <c r="I462" s="8" t="s">
        <v>863</v>
      </c>
      <c r="J462" s="9">
        <v>26.55</v>
      </c>
    </row>
    <row r="463" spans="1:10" x14ac:dyDescent="0.3">
      <c r="A463" s="10">
        <v>462</v>
      </c>
      <c r="B463" s="11">
        <v>0</v>
      </c>
      <c r="C463" s="11">
        <v>3</v>
      </c>
      <c r="D463" s="11" t="s">
        <v>864</v>
      </c>
      <c r="E463" s="11" t="s">
        <v>11</v>
      </c>
      <c r="F463" s="11">
        <v>34</v>
      </c>
      <c r="G463" s="11">
        <v>0</v>
      </c>
      <c r="H463" s="11">
        <v>0</v>
      </c>
      <c r="I463" s="11" t="s">
        <v>865</v>
      </c>
      <c r="J463" s="12">
        <v>8.0500000000000007</v>
      </c>
    </row>
    <row r="464" spans="1:10" x14ac:dyDescent="0.3">
      <c r="A464" s="7">
        <v>463</v>
      </c>
      <c r="B464" s="8">
        <v>0</v>
      </c>
      <c r="C464" s="8">
        <v>1</v>
      </c>
      <c r="D464" s="8" t="s">
        <v>866</v>
      </c>
      <c r="E464" s="8" t="s">
        <v>11</v>
      </c>
      <c r="F464" s="8">
        <v>47</v>
      </c>
      <c r="G464" s="8">
        <v>0</v>
      </c>
      <c r="H464" s="8">
        <v>0</v>
      </c>
      <c r="I464" s="8" t="s">
        <v>867</v>
      </c>
      <c r="J464" s="9">
        <v>38.5</v>
      </c>
    </row>
    <row r="465" spans="1:10" x14ac:dyDescent="0.3">
      <c r="A465" s="10">
        <v>464</v>
      </c>
      <c r="B465" s="11">
        <v>0</v>
      </c>
      <c r="C465" s="11">
        <v>2</v>
      </c>
      <c r="D465" s="11" t="s">
        <v>868</v>
      </c>
      <c r="E465" s="11" t="s">
        <v>11</v>
      </c>
      <c r="F465" s="11">
        <v>48</v>
      </c>
      <c r="G465" s="11">
        <v>0</v>
      </c>
      <c r="H465" s="11">
        <v>0</v>
      </c>
      <c r="I465" s="11" t="s">
        <v>869</v>
      </c>
      <c r="J465" s="12">
        <v>13</v>
      </c>
    </row>
    <row r="466" spans="1:10" x14ac:dyDescent="0.3">
      <c r="A466" s="7">
        <v>465</v>
      </c>
      <c r="B466" s="8">
        <v>0</v>
      </c>
      <c r="C466" s="8">
        <v>3</v>
      </c>
      <c r="D466" s="8" t="s">
        <v>870</v>
      </c>
      <c r="E466" s="8" t="s">
        <v>11</v>
      </c>
      <c r="F466" s="8"/>
      <c r="G466" s="8">
        <v>0</v>
      </c>
      <c r="H466" s="8">
        <v>0</v>
      </c>
      <c r="I466" s="8" t="s">
        <v>871</v>
      </c>
      <c r="J466" s="9">
        <v>8.0500000000000007</v>
      </c>
    </row>
    <row r="467" spans="1:10" x14ac:dyDescent="0.3">
      <c r="A467" s="10">
        <v>466</v>
      </c>
      <c r="B467" s="11">
        <v>0</v>
      </c>
      <c r="C467" s="11">
        <v>3</v>
      </c>
      <c r="D467" s="11" t="s">
        <v>872</v>
      </c>
      <c r="E467" s="11" t="s">
        <v>11</v>
      </c>
      <c r="F467" s="11">
        <v>38</v>
      </c>
      <c r="G467" s="11">
        <v>0</v>
      </c>
      <c r="H467" s="11">
        <v>0</v>
      </c>
      <c r="I467" s="11" t="s">
        <v>873</v>
      </c>
      <c r="J467" s="12">
        <v>7.05</v>
      </c>
    </row>
    <row r="468" spans="1:10" x14ac:dyDescent="0.3">
      <c r="A468" s="7">
        <v>467</v>
      </c>
      <c r="B468" s="8">
        <v>0</v>
      </c>
      <c r="C468" s="8">
        <v>2</v>
      </c>
      <c r="D468" s="8" t="s">
        <v>874</v>
      </c>
      <c r="E468" s="8" t="s">
        <v>11</v>
      </c>
      <c r="F468" s="8"/>
      <c r="G468" s="8">
        <v>0</v>
      </c>
      <c r="H468" s="8">
        <v>0</v>
      </c>
      <c r="I468" s="8" t="s">
        <v>537</v>
      </c>
      <c r="J468" s="9">
        <v>0</v>
      </c>
    </row>
    <row r="469" spans="1:10" x14ac:dyDescent="0.3">
      <c r="A469" s="10">
        <v>468</v>
      </c>
      <c r="B469" s="11">
        <v>0</v>
      </c>
      <c r="C469" s="11">
        <v>1</v>
      </c>
      <c r="D469" s="11" t="s">
        <v>875</v>
      </c>
      <c r="E469" s="11" t="s">
        <v>11</v>
      </c>
      <c r="F469" s="11">
        <v>56</v>
      </c>
      <c r="G469" s="11">
        <v>0</v>
      </c>
      <c r="H469" s="11">
        <v>0</v>
      </c>
      <c r="I469" s="11" t="s">
        <v>876</v>
      </c>
      <c r="J469" s="12">
        <v>26.55</v>
      </c>
    </row>
    <row r="470" spans="1:10" x14ac:dyDescent="0.3">
      <c r="A470" s="7">
        <v>469</v>
      </c>
      <c r="B470" s="8">
        <v>0</v>
      </c>
      <c r="C470" s="8">
        <v>3</v>
      </c>
      <c r="D470" s="8" t="s">
        <v>877</v>
      </c>
      <c r="E470" s="8" t="s">
        <v>11</v>
      </c>
      <c r="F470" s="8"/>
      <c r="G470" s="8">
        <v>0</v>
      </c>
      <c r="H470" s="8">
        <v>0</v>
      </c>
      <c r="I470" s="8" t="s">
        <v>878</v>
      </c>
      <c r="J470" s="9">
        <v>7.7249999999999996</v>
      </c>
    </row>
    <row r="471" spans="1:10" x14ac:dyDescent="0.3">
      <c r="A471" s="10">
        <v>470</v>
      </c>
      <c r="B471" s="11">
        <v>1</v>
      </c>
      <c r="C471" s="11">
        <v>3</v>
      </c>
      <c r="D471" s="11" t="s">
        <v>879</v>
      </c>
      <c r="E471" s="11" t="s">
        <v>14</v>
      </c>
      <c r="F471" s="11">
        <v>0.75</v>
      </c>
      <c r="G471" s="11">
        <v>2</v>
      </c>
      <c r="H471" s="11">
        <v>1</v>
      </c>
      <c r="I471" s="11" t="s">
        <v>840</v>
      </c>
      <c r="J471" s="12">
        <v>19.258299999999998</v>
      </c>
    </row>
    <row r="472" spans="1:10" x14ac:dyDescent="0.3">
      <c r="A472" s="7">
        <v>471</v>
      </c>
      <c r="B472" s="8">
        <v>0</v>
      </c>
      <c r="C472" s="8">
        <v>3</v>
      </c>
      <c r="D472" s="8" t="s">
        <v>880</v>
      </c>
      <c r="E472" s="8" t="s">
        <v>11</v>
      </c>
      <c r="F472" s="8"/>
      <c r="G472" s="8">
        <v>0</v>
      </c>
      <c r="H472" s="8">
        <v>0</v>
      </c>
      <c r="I472" s="8" t="s">
        <v>881</v>
      </c>
      <c r="J472" s="9">
        <v>7.25</v>
      </c>
    </row>
    <row r="473" spans="1:10" x14ac:dyDescent="0.3">
      <c r="A473" s="10">
        <v>472</v>
      </c>
      <c r="B473" s="11">
        <v>0</v>
      </c>
      <c r="C473" s="11">
        <v>3</v>
      </c>
      <c r="D473" s="11" t="s">
        <v>882</v>
      </c>
      <c r="E473" s="11" t="s">
        <v>11</v>
      </c>
      <c r="F473" s="11">
        <v>38</v>
      </c>
      <c r="G473" s="11">
        <v>0</v>
      </c>
      <c r="H473" s="11">
        <v>0</v>
      </c>
      <c r="I473" s="11" t="s">
        <v>883</v>
      </c>
      <c r="J473" s="12">
        <v>8.6624999999999996</v>
      </c>
    </row>
    <row r="474" spans="1:10" x14ac:dyDescent="0.3">
      <c r="A474" s="7">
        <v>473</v>
      </c>
      <c r="B474" s="8">
        <v>1</v>
      </c>
      <c r="C474" s="8">
        <v>2</v>
      </c>
      <c r="D474" s="8" t="s">
        <v>884</v>
      </c>
      <c r="E474" s="8" t="s">
        <v>14</v>
      </c>
      <c r="F474" s="8">
        <v>33</v>
      </c>
      <c r="G474" s="8">
        <v>1</v>
      </c>
      <c r="H474" s="8">
        <v>2</v>
      </c>
      <c r="I474" s="8" t="s">
        <v>128</v>
      </c>
      <c r="J474" s="9">
        <v>27.75</v>
      </c>
    </row>
    <row r="475" spans="1:10" x14ac:dyDescent="0.3">
      <c r="A475" s="10">
        <v>474</v>
      </c>
      <c r="B475" s="11">
        <v>1</v>
      </c>
      <c r="C475" s="11">
        <v>2</v>
      </c>
      <c r="D475" s="11" t="s">
        <v>885</v>
      </c>
      <c r="E475" s="11" t="s">
        <v>14</v>
      </c>
      <c r="F475" s="11">
        <v>23</v>
      </c>
      <c r="G475" s="11">
        <v>0</v>
      </c>
      <c r="H475" s="11">
        <v>0</v>
      </c>
      <c r="I475" s="11" t="s">
        <v>886</v>
      </c>
      <c r="J475" s="12">
        <v>13.791700000000001</v>
      </c>
    </row>
    <row r="476" spans="1:10" x14ac:dyDescent="0.3">
      <c r="A476" s="7">
        <v>475</v>
      </c>
      <c r="B476" s="8">
        <v>0</v>
      </c>
      <c r="C476" s="8">
        <v>3</v>
      </c>
      <c r="D476" s="8" t="s">
        <v>887</v>
      </c>
      <c r="E476" s="8" t="s">
        <v>14</v>
      </c>
      <c r="F476" s="8">
        <v>22</v>
      </c>
      <c r="G476" s="8">
        <v>0</v>
      </c>
      <c r="H476" s="8">
        <v>0</v>
      </c>
      <c r="I476" s="8" t="s">
        <v>888</v>
      </c>
      <c r="J476" s="9">
        <v>9.8375000000000004</v>
      </c>
    </row>
    <row r="477" spans="1:10" x14ac:dyDescent="0.3">
      <c r="A477" s="10">
        <v>476</v>
      </c>
      <c r="B477" s="11">
        <v>0</v>
      </c>
      <c r="C477" s="11">
        <v>1</v>
      </c>
      <c r="D477" s="11" t="s">
        <v>889</v>
      </c>
      <c r="E477" s="11" t="s">
        <v>11</v>
      </c>
      <c r="F477" s="11"/>
      <c r="G477" s="11">
        <v>0</v>
      </c>
      <c r="H477" s="11">
        <v>0</v>
      </c>
      <c r="I477" s="11" t="s">
        <v>230</v>
      </c>
      <c r="J477" s="12">
        <v>52</v>
      </c>
    </row>
    <row r="478" spans="1:10" x14ac:dyDescent="0.3">
      <c r="A478" s="7">
        <v>477</v>
      </c>
      <c r="B478" s="8">
        <v>0</v>
      </c>
      <c r="C478" s="8">
        <v>2</v>
      </c>
      <c r="D478" s="8" t="s">
        <v>890</v>
      </c>
      <c r="E478" s="8" t="s">
        <v>11</v>
      </c>
      <c r="F478" s="8">
        <v>34</v>
      </c>
      <c r="G478" s="8">
        <v>1</v>
      </c>
      <c r="H478" s="8">
        <v>0</v>
      </c>
      <c r="I478" s="8" t="s">
        <v>891</v>
      </c>
      <c r="J478" s="9">
        <v>21</v>
      </c>
    </row>
    <row r="479" spans="1:10" x14ac:dyDescent="0.3">
      <c r="A479" s="10">
        <v>478</v>
      </c>
      <c r="B479" s="11">
        <v>0</v>
      </c>
      <c r="C479" s="11">
        <v>3</v>
      </c>
      <c r="D479" s="11" t="s">
        <v>892</v>
      </c>
      <c r="E479" s="11" t="s">
        <v>11</v>
      </c>
      <c r="F479" s="11">
        <v>29</v>
      </c>
      <c r="G479" s="11">
        <v>1</v>
      </c>
      <c r="H479" s="11">
        <v>0</v>
      </c>
      <c r="I479" s="11" t="s">
        <v>893</v>
      </c>
      <c r="J479" s="12">
        <v>7.0457999999999998</v>
      </c>
    </row>
    <row r="480" spans="1:10" x14ac:dyDescent="0.3">
      <c r="A480" s="7">
        <v>479</v>
      </c>
      <c r="B480" s="8">
        <v>0</v>
      </c>
      <c r="C480" s="8">
        <v>3</v>
      </c>
      <c r="D480" s="8" t="s">
        <v>894</v>
      </c>
      <c r="E480" s="8" t="s">
        <v>11</v>
      </c>
      <c r="F480" s="8">
        <v>22</v>
      </c>
      <c r="G480" s="8">
        <v>0</v>
      </c>
      <c r="H480" s="8">
        <v>0</v>
      </c>
      <c r="I480" s="8" t="s">
        <v>895</v>
      </c>
      <c r="J480" s="9">
        <v>7.5208000000000004</v>
      </c>
    </row>
    <row r="481" spans="1:10" x14ac:dyDescent="0.3">
      <c r="A481" s="10">
        <v>480</v>
      </c>
      <c r="B481" s="11">
        <v>1</v>
      </c>
      <c r="C481" s="11">
        <v>3</v>
      </c>
      <c r="D481" s="11" t="s">
        <v>896</v>
      </c>
      <c r="E481" s="11" t="s">
        <v>14</v>
      </c>
      <c r="F481" s="11">
        <v>2</v>
      </c>
      <c r="G481" s="11">
        <v>0</v>
      </c>
      <c r="H481" s="11">
        <v>1</v>
      </c>
      <c r="I481" s="11" t="s">
        <v>897</v>
      </c>
      <c r="J481" s="12">
        <v>12.2875</v>
      </c>
    </row>
    <row r="482" spans="1:10" x14ac:dyDescent="0.3">
      <c r="A482" s="7">
        <v>481</v>
      </c>
      <c r="B482" s="8">
        <v>0</v>
      </c>
      <c r="C482" s="8">
        <v>3</v>
      </c>
      <c r="D482" s="8" t="s">
        <v>898</v>
      </c>
      <c r="E482" s="8" t="s">
        <v>11</v>
      </c>
      <c r="F482" s="8">
        <v>9</v>
      </c>
      <c r="G482" s="8">
        <v>5</v>
      </c>
      <c r="H482" s="8">
        <v>2</v>
      </c>
      <c r="I482" s="8" t="s">
        <v>130</v>
      </c>
      <c r="J482" s="9">
        <v>46.9</v>
      </c>
    </row>
    <row r="483" spans="1:10" x14ac:dyDescent="0.3">
      <c r="A483" s="10">
        <v>482</v>
      </c>
      <c r="B483" s="11">
        <v>0</v>
      </c>
      <c r="C483" s="11">
        <v>2</v>
      </c>
      <c r="D483" s="11" t="s">
        <v>899</v>
      </c>
      <c r="E483" s="11" t="s">
        <v>11</v>
      </c>
      <c r="F483" s="11"/>
      <c r="G483" s="11">
        <v>0</v>
      </c>
      <c r="H483" s="11">
        <v>0</v>
      </c>
      <c r="I483" s="11" t="s">
        <v>900</v>
      </c>
      <c r="J483" s="12">
        <v>0</v>
      </c>
    </row>
    <row r="484" spans="1:10" x14ac:dyDescent="0.3">
      <c r="A484" s="7">
        <v>483</v>
      </c>
      <c r="B484" s="8">
        <v>0</v>
      </c>
      <c r="C484" s="8">
        <v>3</v>
      </c>
      <c r="D484" s="8" t="s">
        <v>901</v>
      </c>
      <c r="E484" s="8" t="s">
        <v>11</v>
      </c>
      <c r="F484" s="8">
        <v>50</v>
      </c>
      <c r="G484" s="8">
        <v>0</v>
      </c>
      <c r="H484" s="8">
        <v>0</v>
      </c>
      <c r="I484" s="8" t="s">
        <v>902</v>
      </c>
      <c r="J484" s="9">
        <v>8.0500000000000007</v>
      </c>
    </row>
    <row r="485" spans="1:10" x14ac:dyDescent="0.3">
      <c r="A485" s="10">
        <v>484</v>
      </c>
      <c r="B485" s="11">
        <v>1</v>
      </c>
      <c r="C485" s="11">
        <v>3</v>
      </c>
      <c r="D485" s="11" t="s">
        <v>903</v>
      </c>
      <c r="E485" s="11" t="s">
        <v>14</v>
      </c>
      <c r="F485" s="11">
        <v>63</v>
      </c>
      <c r="G485" s="11">
        <v>0</v>
      </c>
      <c r="H485" s="11">
        <v>0</v>
      </c>
      <c r="I485" s="11" t="s">
        <v>904</v>
      </c>
      <c r="J485" s="12">
        <v>9.5875000000000004</v>
      </c>
    </row>
    <row r="486" spans="1:10" x14ac:dyDescent="0.3">
      <c r="A486" s="7">
        <v>485</v>
      </c>
      <c r="B486" s="8">
        <v>1</v>
      </c>
      <c r="C486" s="8">
        <v>1</v>
      </c>
      <c r="D486" s="8" t="s">
        <v>905</v>
      </c>
      <c r="E486" s="8" t="s">
        <v>11</v>
      </c>
      <c r="F486" s="8">
        <v>25</v>
      </c>
      <c r="G486" s="8">
        <v>1</v>
      </c>
      <c r="H486" s="8">
        <v>0</v>
      </c>
      <c r="I486" s="8" t="s">
        <v>564</v>
      </c>
      <c r="J486" s="9">
        <v>91.0792</v>
      </c>
    </row>
    <row r="487" spans="1:10" x14ac:dyDescent="0.3">
      <c r="A487" s="10">
        <v>486</v>
      </c>
      <c r="B487" s="11">
        <v>0</v>
      </c>
      <c r="C487" s="11">
        <v>3</v>
      </c>
      <c r="D487" s="11" t="s">
        <v>906</v>
      </c>
      <c r="E487" s="11" t="s">
        <v>14</v>
      </c>
      <c r="F487" s="11"/>
      <c r="G487" s="11">
        <v>3</v>
      </c>
      <c r="H487" s="11">
        <v>1</v>
      </c>
      <c r="I487" s="11" t="s">
        <v>349</v>
      </c>
      <c r="J487" s="12">
        <v>25.466699999999999</v>
      </c>
    </row>
    <row r="488" spans="1:10" x14ac:dyDescent="0.3">
      <c r="A488" s="7">
        <v>487</v>
      </c>
      <c r="B488" s="8">
        <v>1</v>
      </c>
      <c r="C488" s="8">
        <v>1</v>
      </c>
      <c r="D488" s="8" t="s">
        <v>907</v>
      </c>
      <c r="E488" s="8" t="s">
        <v>14</v>
      </c>
      <c r="F488" s="8">
        <v>35</v>
      </c>
      <c r="G488" s="8">
        <v>1</v>
      </c>
      <c r="H488" s="8">
        <v>0</v>
      </c>
      <c r="I488" s="8" t="s">
        <v>439</v>
      </c>
      <c r="J488" s="9">
        <v>90</v>
      </c>
    </row>
    <row r="489" spans="1:10" x14ac:dyDescent="0.3">
      <c r="A489" s="10">
        <v>488</v>
      </c>
      <c r="B489" s="11">
        <v>0</v>
      </c>
      <c r="C489" s="11">
        <v>1</v>
      </c>
      <c r="D489" s="11" t="s">
        <v>908</v>
      </c>
      <c r="E489" s="11" t="s">
        <v>11</v>
      </c>
      <c r="F489" s="11">
        <v>58</v>
      </c>
      <c r="G489" s="11">
        <v>0</v>
      </c>
      <c r="H489" s="11">
        <v>0</v>
      </c>
      <c r="I489" s="11" t="s">
        <v>909</v>
      </c>
      <c r="J489" s="12">
        <v>29.7</v>
      </c>
    </row>
    <row r="490" spans="1:10" x14ac:dyDescent="0.3">
      <c r="A490" s="7">
        <v>489</v>
      </c>
      <c r="B490" s="8">
        <v>0</v>
      </c>
      <c r="C490" s="8">
        <v>3</v>
      </c>
      <c r="D490" s="8" t="s">
        <v>910</v>
      </c>
      <c r="E490" s="8" t="s">
        <v>11</v>
      </c>
      <c r="F490" s="8">
        <v>30</v>
      </c>
      <c r="G490" s="8">
        <v>0</v>
      </c>
      <c r="H490" s="8">
        <v>0</v>
      </c>
      <c r="I490" s="8" t="s">
        <v>911</v>
      </c>
      <c r="J490" s="9">
        <v>8.0500000000000007</v>
      </c>
    </row>
    <row r="491" spans="1:10" x14ac:dyDescent="0.3">
      <c r="A491" s="10">
        <v>490</v>
      </c>
      <c r="B491" s="11">
        <v>1</v>
      </c>
      <c r="C491" s="11">
        <v>3</v>
      </c>
      <c r="D491" s="11" t="s">
        <v>912</v>
      </c>
      <c r="E491" s="11" t="s">
        <v>11</v>
      </c>
      <c r="F491" s="11">
        <v>9</v>
      </c>
      <c r="G491" s="11">
        <v>1</v>
      </c>
      <c r="H491" s="11">
        <v>1</v>
      </c>
      <c r="I491" s="11" t="s">
        <v>663</v>
      </c>
      <c r="J491" s="12">
        <v>15.9</v>
      </c>
    </row>
    <row r="492" spans="1:10" x14ac:dyDescent="0.3">
      <c r="A492" s="7">
        <v>491</v>
      </c>
      <c r="B492" s="8">
        <v>0</v>
      </c>
      <c r="C492" s="8">
        <v>3</v>
      </c>
      <c r="D492" s="8" t="s">
        <v>913</v>
      </c>
      <c r="E492" s="8" t="s">
        <v>11</v>
      </c>
      <c r="F492" s="8"/>
      <c r="G492" s="8">
        <v>1</v>
      </c>
      <c r="H492" s="8">
        <v>0</v>
      </c>
      <c r="I492" s="8" t="s">
        <v>914</v>
      </c>
      <c r="J492" s="9">
        <v>19.966699999999999</v>
      </c>
    </row>
    <row r="493" spans="1:10" x14ac:dyDescent="0.3">
      <c r="A493" s="10">
        <v>492</v>
      </c>
      <c r="B493" s="11">
        <v>0</v>
      </c>
      <c r="C493" s="11">
        <v>3</v>
      </c>
      <c r="D493" s="11" t="s">
        <v>915</v>
      </c>
      <c r="E493" s="11" t="s">
        <v>11</v>
      </c>
      <c r="F493" s="11">
        <v>21</v>
      </c>
      <c r="G493" s="11">
        <v>0</v>
      </c>
      <c r="H493" s="11">
        <v>0</v>
      </c>
      <c r="I493" s="11" t="s">
        <v>916</v>
      </c>
      <c r="J493" s="12">
        <v>7.25</v>
      </c>
    </row>
    <row r="494" spans="1:10" x14ac:dyDescent="0.3">
      <c r="A494" s="7">
        <v>493</v>
      </c>
      <c r="B494" s="8">
        <v>0</v>
      </c>
      <c r="C494" s="8">
        <v>1</v>
      </c>
      <c r="D494" s="8" t="s">
        <v>917</v>
      </c>
      <c r="E494" s="8" t="s">
        <v>11</v>
      </c>
      <c r="F494" s="8">
        <v>55</v>
      </c>
      <c r="G494" s="8">
        <v>0</v>
      </c>
      <c r="H494" s="8">
        <v>0</v>
      </c>
      <c r="I494" s="8" t="s">
        <v>918</v>
      </c>
      <c r="J494" s="9">
        <v>30.5</v>
      </c>
    </row>
    <row r="495" spans="1:10" x14ac:dyDescent="0.3">
      <c r="A495" s="10">
        <v>494</v>
      </c>
      <c r="B495" s="11">
        <v>0</v>
      </c>
      <c r="C495" s="11">
        <v>1</v>
      </c>
      <c r="D495" s="11" t="s">
        <v>919</v>
      </c>
      <c r="E495" s="11" t="s">
        <v>11</v>
      </c>
      <c r="F495" s="11">
        <v>71</v>
      </c>
      <c r="G495" s="11">
        <v>0</v>
      </c>
      <c r="H495" s="11">
        <v>0</v>
      </c>
      <c r="I495" s="11" t="s">
        <v>920</v>
      </c>
      <c r="J495" s="12">
        <v>49.504199999999997</v>
      </c>
    </row>
    <row r="496" spans="1:10" x14ac:dyDescent="0.3">
      <c r="A496" s="7">
        <v>495</v>
      </c>
      <c r="B496" s="8">
        <v>0</v>
      </c>
      <c r="C496" s="8">
        <v>3</v>
      </c>
      <c r="D496" s="8" t="s">
        <v>921</v>
      </c>
      <c r="E496" s="8" t="s">
        <v>11</v>
      </c>
      <c r="F496" s="8">
        <v>21</v>
      </c>
      <c r="G496" s="8">
        <v>0</v>
      </c>
      <c r="H496" s="8">
        <v>0</v>
      </c>
      <c r="I496" s="8" t="s">
        <v>922</v>
      </c>
      <c r="J496" s="9">
        <v>8.0500000000000007</v>
      </c>
    </row>
    <row r="497" spans="1:10" x14ac:dyDescent="0.3">
      <c r="A497" s="10">
        <v>496</v>
      </c>
      <c r="B497" s="11">
        <v>0</v>
      </c>
      <c r="C497" s="11">
        <v>3</v>
      </c>
      <c r="D497" s="11" t="s">
        <v>923</v>
      </c>
      <c r="E497" s="11" t="s">
        <v>11</v>
      </c>
      <c r="F497" s="11"/>
      <c r="G497" s="11">
        <v>0</v>
      </c>
      <c r="H497" s="11">
        <v>0</v>
      </c>
      <c r="I497" s="11" t="s">
        <v>238</v>
      </c>
      <c r="J497" s="12">
        <v>14.458299999999999</v>
      </c>
    </row>
    <row r="498" spans="1:10" x14ac:dyDescent="0.3">
      <c r="A498" s="7">
        <v>497</v>
      </c>
      <c r="B498" s="8">
        <v>1</v>
      </c>
      <c r="C498" s="8">
        <v>1</v>
      </c>
      <c r="D498" s="8" t="s">
        <v>924</v>
      </c>
      <c r="E498" s="8" t="s">
        <v>14</v>
      </c>
      <c r="F498" s="8">
        <v>54</v>
      </c>
      <c r="G498" s="8">
        <v>1</v>
      </c>
      <c r="H498" s="8">
        <v>0</v>
      </c>
      <c r="I498" s="8" t="s">
        <v>925</v>
      </c>
      <c r="J498" s="9">
        <v>78.2667</v>
      </c>
    </row>
    <row r="499" spans="1:10" x14ac:dyDescent="0.3">
      <c r="A499" s="10">
        <v>498</v>
      </c>
      <c r="B499" s="11">
        <v>0</v>
      </c>
      <c r="C499" s="11">
        <v>3</v>
      </c>
      <c r="D499" s="11" t="s">
        <v>926</v>
      </c>
      <c r="E499" s="11" t="s">
        <v>11</v>
      </c>
      <c r="F499" s="11"/>
      <c r="G499" s="11">
        <v>0</v>
      </c>
      <c r="H499" s="11">
        <v>0</v>
      </c>
      <c r="I499" s="11" t="s">
        <v>927</v>
      </c>
      <c r="J499" s="12">
        <v>15.1</v>
      </c>
    </row>
    <row r="500" spans="1:10" x14ac:dyDescent="0.3">
      <c r="A500" s="7">
        <v>499</v>
      </c>
      <c r="B500" s="8">
        <v>0</v>
      </c>
      <c r="C500" s="8">
        <v>1</v>
      </c>
      <c r="D500" s="8" t="s">
        <v>928</v>
      </c>
      <c r="E500" s="8" t="s">
        <v>14</v>
      </c>
      <c r="F500" s="8">
        <v>25</v>
      </c>
      <c r="G500" s="8">
        <v>1</v>
      </c>
      <c r="H500" s="8">
        <v>2</v>
      </c>
      <c r="I500" s="8" t="s">
        <v>576</v>
      </c>
      <c r="J500" s="9">
        <v>151.55000000000001</v>
      </c>
    </row>
    <row r="501" spans="1:10" x14ac:dyDescent="0.3">
      <c r="A501" s="10">
        <v>500</v>
      </c>
      <c r="B501" s="11">
        <v>0</v>
      </c>
      <c r="C501" s="11">
        <v>3</v>
      </c>
      <c r="D501" s="11" t="s">
        <v>929</v>
      </c>
      <c r="E501" s="11" t="s">
        <v>11</v>
      </c>
      <c r="F501" s="11">
        <v>24</v>
      </c>
      <c r="G501" s="11">
        <v>0</v>
      </c>
      <c r="H501" s="11">
        <v>0</v>
      </c>
      <c r="I501" s="11" t="s">
        <v>930</v>
      </c>
      <c r="J501" s="12">
        <v>7.7957999999999998</v>
      </c>
    </row>
    <row r="502" spans="1:10" x14ac:dyDescent="0.3">
      <c r="A502" s="7">
        <v>501</v>
      </c>
      <c r="B502" s="8">
        <v>0</v>
      </c>
      <c r="C502" s="8">
        <v>3</v>
      </c>
      <c r="D502" s="8" t="s">
        <v>931</v>
      </c>
      <c r="E502" s="8" t="s">
        <v>11</v>
      </c>
      <c r="F502" s="8">
        <v>17</v>
      </c>
      <c r="G502" s="8">
        <v>0</v>
      </c>
      <c r="H502" s="8">
        <v>0</v>
      </c>
      <c r="I502" s="8" t="s">
        <v>932</v>
      </c>
      <c r="J502" s="9">
        <v>8.6624999999999996</v>
      </c>
    </row>
    <row r="503" spans="1:10" x14ac:dyDescent="0.3">
      <c r="A503" s="10">
        <v>502</v>
      </c>
      <c r="B503" s="11">
        <v>0</v>
      </c>
      <c r="C503" s="11">
        <v>3</v>
      </c>
      <c r="D503" s="11" t="s">
        <v>933</v>
      </c>
      <c r="E503" s="11" t="s">
        <v>14</v>
      </c>
      <c r="F503" s="11">
        <v>21</v>
      </c>
      <c r="G503" s="11">
        <v>0</v>
      </c>
      <c r="H503" s="11">
        <v>0</v>
      </c>
      <c r="I503" s="11" t="s">
        <v>934</v>
      </c>
      <c r="J503" s="12">
        <v>7.75</v>
      </c>
    </row>
    <row r="504" spans="1:10" x14ac:dyDescent="0.3">
      <c r="A504" s="7">
        <v>503</v>
      </c>
      <c r="B504" s="8">
        <v>0</v>
      </c>
      <c r="C504" s="8">
        <v>3</v>
      </c>
      <c r="D504" s="8" t="s">
        <v>935</v>
      </c>
      <c r="E504" s="8" t="s">
        <v>14</v>
      </c>
      <c r="F504" s="8"/>
      <c r="G504" s="8">
        <v>0</v>
      </c>
      <c r="H504" s="8">
        <v>0</v>
      </c>
      <c r="I504" s="8" t="s">
        <v>936</v>
      </c>
      <c r="J504" s="9">
        <v>7.6292</v>
      </c>
    </row>
    <row r="505" spans="1:10" x14ac:dyDescent="0.3">
      <c r="A505" s="10">
        <v>504</v>
      </c>
      <c r="B505" s="11">
        <v>0</v>
      </c>
      <c r="C505" s="11">
        <v>3</v>
      </c>
      <c r="D505" s="11" t="s">
        <v>937</v>
      </c>
      <c r="E505" s="11" t="s">
        <v>14</v>
      </c>
      <c r="F505" s="11">
        <v>37</v>
      </c>
      <c r="G505" s="11">
        <v>0</v>
      </c>
      <c r="H505" s="11">
        <v>0</v>
      </c>
      <c r="I505" s="11" t="s">
        <v>938</v>
      </c>
      <c r="J505" s="12">
        <v>9.5875000000000004</v>
      </c>
    </row>
    <row r="506" spans="1:10" x14ac:dyDescent="0.3">
      <c r="A506" s="7">
        <v>505</v>
      </c>
      <c r="B506" s="8">
        <v>1</v>
      </c>
      <c r="C506" s="8">
        <v>1</v>
      </c>
      <c r="D506" s="8" t="s">
        <v>939</v>
      </c>
      <c r="E506" s="8" t="s">
        <v>14</v>
      </c>
      <c r="F506" s="8">
        <v>16</v>
      </c>
      <c r="G506" s="8">
        <v>0</v>
      </c>
      <c r="H506" s="8">
        <v>0</v>
      </c>
      <c r="I506" s="8" t="s">
        <v>500</v>
      </c>
      <c r="J506" s="9">
        <v>86.5</v>
      </c>
    </row>
    <row r="507" spans="1:10" x14ac:dyDescent="0.3">
      <c r="A507" s="10">
        <v>506</v>
      </c>
      <c r="B507" s="11">
        <v>0</v>
      </c>
      <c r="C507" s="11">
        <v>1</v>
      </c>
      <c r="D507" s="11" t="s">
        <v>940</v>
      </c>
      <c r="E507" s="11" t="s">
        <v>11</v>
      </c>
      <c r="F507" s="11">
        <v>18</v>
      </c>
      <c r="G507" s="11">
        <v>1</v>
      </c>
      <c r="H507" s="11">
        <v>0</v>
      </c>
      <c r="I507" s="11" t="s">
        <v>593</v>
      </c>
      <c r="J507" s="12">
        <v>108.9</v>
      </c>
    </row>
    <row r="508" spans="1:10" x14ac:dyDescent="0.3">
      <c r="A508" s="7">
        <v>507</v>
      </c>
      <c r="B508" s="8">
        <v>1</v>
      </c>
      <c r="C508" s="8">
        <v>2</v>
      </c>
      <c r="D508" s="8" t="s">
        <v>941</v>
      </c>
      <c r="E508" s="8" t="s">
        <v>14</v>
      </c>
      <c r="F508" s="8">
        <v>33</v>
      </c>
      <c r="G508" s="8">
        <v>0</v>
      </c>
      <c r="H508" s="8">
        <v>2</v>
      </c>
      <c r="I508" s="8" t="s">
        <v>942</v>
      </c>
      <c r="J508" s="9">
        <v>26</v>
      </c>
    </row>
    <row r="509" spans="1:10" x14ac:dyDescent="0.3">
      <c r="A509" s="10">
        <v>508</v>
      </c>
      <c r="B509" s="11">
        <v>1</v>
      </c>
      <c r="C509" s="11">
        <v>1</v>
      </c>
      <c r="D509" s="11" t="s">
        <v>943</v>
      </c>
      <c r="E509" s="11" t="s">
        <v>11</v>
      </c>
      <c r="F509" s="11"/>
      <c r="G509" s="11">
        <v>0</v>
      </c>
      <c r="H509" s="11">
        <v>0</v>
      </c>
      <c r="I509" s="11" t="s">
        <v>944</v>
      </c>
      <c r="J509" s="12">
        <v>26.55</v>
      </c>
    </row>
    <row r="510" spans="1:10" x14ac:dyDescent="0.3">
      <c r="A510" s="7">
        <v>509</v>
      </c>
      <c r="B510" s="8">
        <v>0</v>
      </c>
      <c r="C510" s="8">
        <v>3</v>
      </c>
      <c r="D510" s="8" t="s">
        <v>945</v>
      </c>
      <c r="E510" s="8" t="s">
        <v>11</v>
      </c>
      <c r="F510" s="8">
        <v>28</v>
      </c>
      <c r="G510" s="8">
        <v>0</v>
      </c>
      <c r="H510" s="8">
        <v>0</v>
      </c>
      <c r="I510" s="8" t="s">
        <v>946</v>
      </c>
      <c r="J510" s="9">
        <v>22.524999999999999</v>
      </c>
    </row>
    <row r="511" spans="1:10" x14ac:dyDescent="0.3">
      <c r="A511" s="10">
        <v>510</v>
      </c>
      <c r="B511" s="11">
        <v>1</v>
      </c>
      <c r="C511" s="11">
        <v>3</v>
      </c>
      <c r="D511" s="11" t="s">
        <v>947</v>
      </c>
      <c r="E511" s="11" t="s">
        <v>11</v>
      </c>
      <c r="F511" s="11">
        <v>26</v>
      </c>
      <c r="G511" s="11">
        <v>0</v>
      </c>
      <c r="H511" s="11">
        <v>0</v>
      </c>
      <c r="I511" s="11" t="s">
        <v>159</v>
      </c>
      <c r="J511" s="12">
        <v>56.495800000000003</v>
      </c>
    </row>
    <row r="512" spans="1:10" x14ac:dyDescent="0.3">
      <c r="A512" s="7">
        <v>511</v>
      </c>
      <c r="B512" s="8">
        <v>1</v>
      </c>
      <c r="C512" s="8">
        <v>3</v>
      </c>
      <c r="D512" s="8" t="s">
        <v>948</v>
      </c>
      <c r="E512" s="8" t="s">
        <v>11</v>
      </c>
      <c r="F512" s="8">
        <v>29</v>
      </c>
      <c r="G512" s="8">
        <v>0</v>
      </c>
      <c r="H512" s="8">
        <v>0</v>
      </c>
      <c r="I512" s="8" t="s">
        <v>949</v>
      </c>
      <c r="J512" s="9">
        <v>7.75</v>
      </c>
    </row>
    <row r="513" spans="1:10" x14ac:dyDescent="0.3">
      <c r="A513" s="10">
        <v>512</v>
      </c>
      <c r="B513" s="11">
        <v>0</v>
      </c>
      <c r="C513" s="11">
        <v>3</v>
      </c>
      <c r="D513" s="11" t="s">
        <v>950</v>
      </c>
      <c r="E513" s="11" t="s">
        <v>11</v>
      </c>
      <c r="F513" s="11"/>
      <c r="G513" s="11">
        <v>0</v>
      </c>
      <c r="H513" s="11">
        <v>0</v>
      </c>
      <c r="I513" s="11" t="s">
        <v>951</v>
      </c>
      <c r="J513" s="12">
        <v>8.0500000000000007</v>
      </c>
    </row>
    <row r="514" spans="1:10" x14ac:dyDescent="0.3">
      <c r="A514" s="7">
        <v>513</v>
      </c>
      <c r="B514" s="8">
        <v>1</v>
      </c>
      <c r="C514" s="8">
        <v>1</v>
      </c>
      <c r="D514" s="8" t="s">
        <v>952</v>
      </c>
      <c r="E514" s="8" t="s">
        <v>11</v>
      </c>
      <c r="F514" s="8">
        <v>36</v>
      </c>
      <c r="G514" s="8">
        <v>0</v>
      </c>
      <c r="H514" s="8">
        <v>0</v>
      </c>
      <c r="I514" s="8" t="s">
        <v>953</v>
      </c>
      <c r="J514" s="9">
        <v>26.287500000000001</v>
      </c>
    </row>
    <row r="515" spans="1:10" x14ac:dyDescent="0.3">
      <c r="A515" s="10">
        <v>514</v>
      </c>
      <c r="B515" s="11">
        <v>1</v>
      </c>
      <c r="C515" s="11">
        <v>1</v>
      </c>
      <c r="D515" s="11" t="s">
        <v>954</v>
      </c>
      <c r="E515" s="11" t="s">
        <v>14</v>
      </c>
      <c r="F515" s="11">
        <v>54</v>
      </c>
      <c r="G515" s="11">
        <v>1</v>
      </c>
      <c r="H515" s="11">
        <v>0</v>
      </c>
      <c r="I515" s="11" t="s">
        <v>955</v>
      </c>
      <c r="J515" s="12">
        <v>59.4</v>
      </c>
    </row>
    <row r="516" spans="1:10" x14ac:dyDescent="0.3">
      <c r="A516" s="7">
        <v>515</v>
      </c>
      <c r="B516" s="8">
        <v>0</v>
      </c>
      <c r="C516" s="8">
        <v>3</v>
      </c>
      <c r="D516" s="8" t="s">
        <v>956</v>
      </c>
      <c r="E516" s="8" t="s">
        <v>11</v>
      </c>
      <c r="F516" s="8">
        <v>24</v>
      </c>
      <c r="G516" s="8">
        <v>0</v>
      </c>
      <c r="H516" s="8">
        <v>0</v>
      </c>
      <c r="I516" s="8" t="s">
        <v>957</v>
      </c>
      <c r="J516" s="9">
        <v>7.4958</v>
      </c>
    </row>
    <row r="517" spans="1:10" x14ac:dyDescent="0.3">
      <c r="A517" s="10">
        <v>516</v>
      </c>
      <c r="B517" s="11">
        <v>0</v>
      </c>
      <c r="C517" s="11">
        <v>1</v>
      </c>
      <c r="D517" s="11" t="s">
        <v>958</v>
      </c>
      <c r="E517" s="11" t="s">
        <v>11</v>
      </c>
      <c r="F517" s="11">
        <v>47</v>
      </c>
      <c r="G517" s="11">
        <v>0</v>
      </c>
      <c r="H517" s="11">
        <v>0</v>
      </c>
      <c r="I517" s="11" t="s">
        <v>959</v>
      </c>
      <c r="J517" s="12">
        <v>34.020800000000001</v>
      </c>
    </row>
    <row r="518" spans="1:10" x14ac:dyDescent="0.3">
      <c r="A518" s="7">
        <v>517</v>
      </c>
      <c r="B518" s="8">
        <v>1</v>
      </c>
      <c r="C518" s="8">
        <v>2</v>
      </c>
      <c r="D518" s="8" t="s">
        <v>960</v>
      </c>
      <c r="E518" s="8" t="s">
        <v>14</v>
      </c>
      <c r="F518" s="8">
        <v>34</v>
      </c>
      <c r="G518" s="8">
        <v>0</v>
      </c>
      <c r="H518" s="8">
        <v>0</v>
      </c>
      <c r="I518" s="8" t="s">
        <v>961</v>
      </c>
      <c r="J518" s="9">
        <v>10.5</v>
      </c>
    </row>
    <row r="519" spans="1:10" x14ac:dyDescent="0.3">
      <c r="A519" s="10">
        <v>518</v>
      </c>
      <c r="B519" s="11">
        <v>0</v>
      </c>
      <c r="C519" s="11">
        <v>3</v>
      </c>
      <c r="D519" s="11" t="s">
        <v>962</v>
      </c>
      <c r="E519" s="11" t="s">
        <v>11</v>
      </c>
      <c r="F519" s="11"/>
      <c r="G519" s="11">
        <v>0</v>
      </c>
      <c r="H519" s="11">
        <v>0</v>
      </c>
      <c r="I519" s="11" t="s">
        <v>228</v>
      </c>
      <c r="J519" s="12">
        <v>24.15</v>
      </c>
    </row>
    <row r="520" spans="1:10" x14ac:dyDescent="0.3">
      <c r="A520" s="7">
        <v>519</v>
      </c>
      <c r="B520" s="8">
        <v>1</v>
      </c>
      <c r="C520" s="8">
        <v>2</v>
      </c>
      <c r="D520" s="8" t="s">
        <v>963</v>
      </c>
      <c r="E520" s="8" t="s">
        <v>14</v>
      </c>
      <c r="F520" s="8">
        <v>36</v>
      </c>
      <c r="G520" s="8">
        <v>1</v>
      </c>
      <c r="H520" s="8">
        <v>0</v>
      </c>
      <c r="I520" s="8" t="s">
        <v>964</v>
      </c>
      <c r="J520" s="9">
        <v>26</v>
      </c>
    </row>
    <row r="521" spans="1:10" x14ac:dyDescent="0.3">
      <c r="A521" s="10">
        <v>520</v>
      </c>
      <c r="B521" s="11">
        <v>0</v>
      </c>
      <c r="C521" s="11">
        <v>3</v>
      </c>
      <c r="D521" s="11" t="s">
        <v>965</v>
      </c>
      <c r="E521" s="11" t="s">
        <v>11</v>
      </c>
      <c r="F521" s="11">
        <v>32</v>
      </c>
      <c r="G521" s="11">
        <v>0</v>
      </c>
      <c r="H521" s="11">
        <v>0</v>
      </c>
      <c r="I521" s="11" t="s">
        <v>966</v>
      </c>
      <c r="J521" s="12">
        <v>7.8958000000000004</v>
      </c>
    </row>
    <row r="522" spans="1:10" x14ac:dyDescent="0.3">
      <c r="A522" s="7">
        <v>521</v>
      </c>
      <c r="B522" s="8">
        <v>1</v>
      </c>
      <c r="C522" s="8">
        <v>1</v>
      </c>
      <c r="D522" s="8" t="s">
        <v>967</v>
      </c>
      <c r="E522" s="8" t="s">
        <v>14</v>
      </c>
      <c r="F522" s="8">
        <v>30</v>
      </c>
      <c r="G522" s="8">
        <v>0</v>
      </c>
      <c r="H522" s="8">
        <v>0</v>
      </c>
      <c r="I522" s="8" t="s">
        <v>968</v>
      </c>
      <c r="J522" s="9">
        <v>93.5</v>
      </c>
    </row>
    <row r="523" spans="1:10" x14ac:dyDescent="0.3">
      <c r="A523" s="10">
        <v>522</v>
      </c>
      <c r="B523" s="11">
        <v>0</v>
      </c>
      <c r="C523" s="11">
        <v>3</v>
      </c>
      <c r="D523" s="11" t="s">
        <v>969</v>
      </c>
      <c r="E523" s="11" t="s">
        <v>11</v>
      </c>
      <c r="F523" s="11">
        <v>22</v>
      </c>
      <c r="G523" s="11">
        <v>0</v>
      </c>
      <c r="H523" s="11">
        <v>0</v>
      </c>
      <c r="I523" s="11" t="s">
        <v>970</v>
      </c>
      <c r="J523" s="12">
        <v>7.8958000000000004</v>
      </c>
    </row>
    <row r="524" spans="1:10" x14ac:dyDescent="0.3">
      <c r="A524" s="7">
        <v>523</v>
      </c>
      <c r="B524" s="8">
        <v>0</v>
      </c>
      <c r="C524" s="8">
        <v>3</v>
      </c>
      <c r="D524" s="8" t="s">
        <v>971</v>
      </c>
      <c r="E524" s="8" t="s">
        <v>11</v>
      </c>
      <c r="F524" s="8"/>
      <c r="G524" s="8">
        <v>0</v>
      </c>
      <c r="H524" s="8">
        <v>0</v>
      </c>
      <c r="I524" s="8" t="s">
        <v>972</v>
      </c>
      <c r="J524" s="9">
        <v>7.2249999999999996</v>
      </c>
    </row>
    <row r="525" spans="1:10" x14ac:dyDescent="0.3">
      <c r="A525" s="10">
        <v>524</v>
      </c>
      <c r="B525" s="11">
        <v>1</v>
      </c>
      <c r="C525" s="11">
        <v>1</v>
      </c>
      <c r="D525" s="11" t="s">
        <v>973</v>
      </c>
      <c r="E525" s="11" t="s">
        <v>14</v>
      </c>
      <c r="F525" s="11">
        <v>44</v>
      </c>
      <c r="G525" s="11">
        <v>0</v>
      </c>
      <c r="H525" s="11">
        <v>1</v>
      </c>
      <c r="I525" s="11" t="s">
        <v>632</v>
      </c>
      <c r="J525" s="12">
        <v>57.979199999999999</v>
      </c>
    </row>
    <row r="526" spans="1:10" x14ac:dyDescent="0.3">
      <c r="A526" s="7">
        <v>525</v>
      </c>
      <c r="B526" s="8">
        <v>0</v>
      </c>
      <c r="C526" s="8">
        <v>3</v>
      </c>
      <c r="D526" s="8" t="s">
        <v>974</v>
      </c>
      <c r="E526" s="8" t="s">
        <v>11</v>
      </c>
      <c r="F526" s="8"/>
      <c r="G526" s="8">
        <v>0</v>
      </c>
      <c r="H526" s="8">
        <v>0</v>
      </c>
      <c r="I526" s="8" t="s">
        <v>975</v>
      </c>
      <c r="J526" s="9">
        <v>7.2291999999999996</v>
      </c>
    </row>
    <row r="527" spans="1:10" x14ac:dyDescent="0.3">
      <c r="A527" s="10">
        <v>526</v>
      </c>
      <c r="B527" s="11">
        <v>0</v>
      </c>
      <c r="C527" s="11">
        <v>3</v>
      </c>
      <c r="D527" s="11" t="s">
        <v>976</v>
      </c>
      <c r="E527" s="11" t="s">
        <v>11</v>
      </c>
      <c r="F527" s="11">
        <v>40.5</v>
      </c>
      <c r="G527" s="11">
        <v>0</v>
      </c>
      <c r="H527" s="11">
        <v>0</v>
      </c>
      <c r="I527" s="11" t="s">
        <v>977</v>
      </c>
      <c r="J527" s="12">
        <v>7.75</v>
      </c>
    </row>
    <row r="528" spans="1:10" x14ac:dyDescent="0.3">
      <c r="A528" s="7">
        <v>527</v>
      </c>
      <c r="B528" s="8">
        <v>1</v>
      </c>
      <c r="C528" s="8">
        <v>2</v>
      </c>
      <c r="D528" s="8" t="s">
        <v>978</v>
      </c>
      <c r="E528" s="8" t="s">
        <v>14</v>
      </c>
      <c r="F528" s="8">
        <v>50</v>
      </c>
      <c r="G528" s="8">
        <v>0</v>
      </c>
      <c r="H528" s="8">
        <v>0</v>
      </c>
      <c r="I528" s="8" t="s">
        <v>979</v>
      </c>
      <c r="J528" s="9">
        <v>10.5</v>
      </c>
    </row>
    <row r="529" spans="1:10" x14ac:dyDescent="0.3">
      <c r="A529" s="10">
        <v>528</v>
      </c>
      <c r="B529" s="11">
        <v>0</v>
      </c>
      <c r="C529" s="11">
        <v>1</v>
      </c>
      <c r="D529" s="11" t="s">
        <v>980</v>
      </c>
      <c r="E529" s="11" t="s">
        <v>11</v>
      </c>
      <c r="F529" s="11"/>
      <c r="G529" s="11">
        <v>0</v>
      </c>
      <c r="H529" s="11">
        <v>0</v>
      </c>
      <c r="I529" s="11" t="s">
        <v>981</v>
      </c>
      <c r="J529" s="12">
        <v>221.7792</v>
      </c>
    </row>
    <row r="530" spans="1:10" x14ac:dyDescent="0.3">
      <c r="A530" s="7">
        <v>529</v>
      </c>
      <c r="B530" s="8">
        <v>0</v>
      </c>
      <c r="C530" s="8">
        <v>3</v>
      </c>
      <c r="D530" s="8" t="s">
        <v>982</v>
      </c>
      <c r="E530" s="8" t="s">
        <v>11</v>
      </c>
      <c r="F530" s="8">
        <v>39</v>
      </c>
      <c r="G530" s="8">
        <v>0</v>
      </c>
      <c r="H530" s="8">
        <v>0</v>
      </c>
      <c r="I530" s="8" t="s">
        <v>983</v>
      </c>
      <c r="J530" s="9">
        <v>7.9249999999999998</v>
      </c>
    </row>
    <row r="531" spans="1:10" x14ac:dyDescent="0.3">
      <c r="A531" s="10">
        <v>530</v>
      </c>
      <c r="B531" s="11">
        <v>0</v>
      </c>
      <c r="C531" s="11">
        <v>2</v>
      </c>
      <c r="D531" s="11" t="s">
        <v>984</v>
      </c>
      <c r="E531" s="11" t="s">
        <v>11</v>
      </c>
      <c r="F531" s="11">
        <v>23</v>
      </c>
      <c r="G531" s="11">
        <v>2</v>
      </c>
      <c r="H531" s="11">
        <v>1</v>
      </c>
      <c r="I531" s="11" t="s">
        <v>985</v>
      </c>
      <c r="J531" s="12">
        <v>11.5</v>
      </c>
    </row>
    <row r="532" spans="1:10" x14ac:dyDescent="0.3">
      <c r="A532" s="7">
        <v>531</v>
      </c>
      <c r="B532" s="8">
        <v>1</v>
      </c>
      <c r="C532" s="8">
        <v>2</v>
      </c>
      <c r="D532" s="8" t="s">
        <v>986</v>
      </c>
      <c r="E532" s="8" t="s">
        <v>14</v>
      </c>
      <c r="F532" s="8">
        <v>2</v>
      </c>
      <c r="G532" s="8">
        <v>1</v>
      </c>
      <c r="H532" s="8">
        <v>1</v>
      </c>
      <c r="I532" s="8" t="s">
        <v>942</v>
      </c>
      <c r="J532" s="9">
        <v>26</v>
      </c>
    </row>
    <row r="533" spans="1:10" x14ac:dyDescent="0.3">
      <c r="A533" s="10">
        <v>532</v>
      </c>
      <c r="B533" s="11">
        <v>0</v>
      </c>
      <c r="C533" s="11">
        <v>3</v>
      </c>
      <c r="D533" s="11" t="s">
        <v>987</v>
      </c>
      <c r="E533" s="11" t="s">
        <v>11</v>
      </c>
      <c r="F533" s="11"/>
      <c r="G533" s="11">
        <v>0</v>
      </c>
      <c r="H533" s="11">
        <v>0</v>
      </c>
      <c r="I533" s="11" t="s">
        <v>988</v>
      </c>
      <c r="J533" s="12">
        <v>7.2291999999999996</v>
      </c>
    </row>
    <row r="534" spans="1:10" x14ac:dyDescent="0.3">
      <c r="A534" s="7">
        <v>533</v>
      </c>
      <c r="B534" s="8">
        <v>0</v>
      </c>
      <c r="C534" s="8">
        <v>3</v>
      </c>
      <c r="D534" s="8" t="s">
        <v>989</v>
      </c>
      <c r="E534" s="8" t="s">
        <v>11</v>
      </c>
      <c r="F534" s="8">
        <v>17</v>
      </c>
      <c r="G534" s="8">
        <v>1</v>
      </c>
      <c r="H534" s="8">
        <v>1</v>
      </c>
      <c r="I534" s="8" t="s">
        <v>990</v>
      </c>
      <c r="J534" s="9">
        <v>7.2291999999999996</v>
      </c>
    </row>
    <row r="535" spans="1:10" x14ac:dyDescent="0.3">
      <c r="A535" s="10">
        <v>534</v>
      </c>
      <c r="B535" s="11">
        <v>1</v>
      </c>
      <c r="C535" s="11">
        <v>3</v>
      </c>
      <c r="D535" s="11" t="s">
        <v>991</v>
      </c>
      <c r="E535" s="11" t="s">
        <v>14</v>
      </c>
      <c r="F535" s="11"/>
      <c r="G535" s="11">
        <v>0</v>
      </c>
      <c r="H535" s="11">
        <v>2</v>
      </c>
      <c r="I535" s="11" t="s">
        <v>260</v>
      </c>
      <c r="J535" s="12">
        <v>22.3583</v>
      </c>
    </row>
    <row r="536" spans="1:10" x14ac:dyDescent="0.3">
      <c r="A536" s="7">
        <v>535</v>
      </c>
      <c r="B536" s="8">
        <v>0</v>
      </c>
      <c r="C536" s="8">
        <v>3</v>
      </c>
      <c r="D536" s="8" t="s">
        <v>992</v>
      </c>
      <c r="E536" s="8" t="s">
        <v>14</v>
      </c>
      <c r="F536" s="8">
        <v>30</v>
      </c>
      <c r="G536" s="8">
        <v>0</v>
      </c>
      <c r="H536" s="8">
        <v>0</v>
      </c>
      <c r="I536" s="8" t="s">
        <v>993</v>
      </c>
      <c r="J536" s="9">
        <v>8.6624999999999996</v>
      </c>
    </row>
    <row r="537" spans="1:10" x14ac:dyDescent="0.3">
      <c r="A537" s="10">
        <v>536</v>
      </c>
      <c r="B537" s="11">
        <v>1</v>
      </c>
      <c r="C537" s="11">
        <v>2</v>
      </c>
      <c r="D537" s="11" t="s">
        <v>994</v>
      </c>
      <c r="E537" s="11" t="s">
        <v>14</v>
      </c>
      <c r="F537" s="11">
        <v>7</v>
      </c>
      <c r="G537" s="11">
        <v>0</v>
      </c>
      <c r="H537" s="11">
        <v>2</v>
      </c>
      <c r="I537" s="11" t="s">
        <v>607</v>
      </c>
      <c r="J537" s="12">
        <v>26.25</v>
      </c>
    </row>
    <row r="538" spans="1:10" x14ac:dyDescent="0.3">
      <c r="A538" s="7">
        <v>537</v>
      </c>
      <c r="B538" s="8">
        <v>0</v>
      </c>
      <c r="C538" s="8">
        <v>1</v>
      </c>
      <c r="D538" s="8" t="s">
        <v>995</v>
      </c>
      <c r="E538" s="8" t="s">
        <v>11</v>
      </c>
      <c r="F538" s="8">
        <v>45</v>
      </c>
      <c r="G538" s="8">
        <v>0</v>
      </c>
      <c r="H538" s="8">
        <v>0</v>
      </c>
      <c r="I538" s="8" t="s">
        <v>996</v>
      </c>
      <c r="J538" s="9">
        <v>26.55</v>
      </c>
    </row>
    <row r="539" spans="1:10" x14ac:dyDescent="0.3">
      <c r="A539" s="10">
        <v>538</v>
      </c>
      <c r="B539" s="11">
        <v>1</v>
      </c>
      <c r="C539" s="11">
        <v>1</v>
      </c>
      <c r="D539" s="11" t="s">
        <v>997</v>
      </c>
      <c r="E539" s="11" t="s">
        <v>14</v>
      </c>
      <c r="F539" s="11">
        <v>30</v>
      </c>
      <c r="G539" s="11">
        <v>0</v>
      </c>
      <c r="H539" s="11">
        <v>0</v>
      </c>
      <c r="I539" s="11" t="s">
        <v>998</v>
      </c>
      <c r="J539" s="12">
        <v>106.425</v>
      </c>
    </row>
    <row r="540" spans="1:10" x14ac:dyDescent="0.3">
      <c r="A540" s="7">
        <v>539</v>
      </c>
      <c r="B540" s="8">
        <v>0</v>
      </c>
      <c r="C540" s="8">
        <v>3</v>
      </c>
      <c r="D540" s="8" t="s">
        <v>999</v>
      </c>
      <c r="E540" s="8" t="s">
        <v>11</v>
      </c>
      <c r="F540" s="8"/>
      <c r="G540" s="8">
        <v>0</v>
      </c>
      <c r="H540" s="8">
        <v>0</v>
      </c>
      <c r="I540" s="8" t="s">
        <v>1000</v>
      </c>
      <c r="J540" s="9">
        <v>14.5</v>
      </c>
    </row>
    <row r="541" spans="1:10" x14ac:dyDescent="0.3">
      <c r="A541" s="10">
        <v>540</v>
      </c>
      <c r="B541" s="11">
        <v>1</v>
      </c>
      <c r="C541" s="11">
        <v>1</v>
      </c>
      <c r="D541" s="11" t="s">
        <v>1001</v>
      </c>
      <c r="E541" s="11" t="s">
        <v>14</v>
      </c>
      <c r="F541" s="11">
        <v>22</v>
      </c>
      <c r="G541" s="11">
        <v>0</v>
      </c>
      <c r="H541" s="11">
        <v>2</v>
      </c>
      <c r="I541" s="11" t="s">
        <v>1002</v>
      </c>
      <c r="J541" s="12">
        <v>49.5</v>
      </c>
    </row>
    <row r="542" spans="1:10" x14ac:dyDescent="0.3">
      <c r="A542" s="7">
        <v>541</v>
      </c>
      <c r="B542" s="8">
        <v>1</v>
      </c>
      <c r="C542" s="8">
        <v>1</v>
      </c>
      <c r="D542" s="8" t="s">
        <v>1003</v>
      </c>
      <c r="E542" s="8" t="s">
        <v>14</v>
      </c>
      <c r="F542" s="8">
        <v>36</v>
      </c>
      <c r="G542" s="8">
        <v>0</v>
      </c>
      <c r="H542" s="8">
        <v>2</v>
      </c>
      <c r="I542" s="8" t="s">
        <v>1004</v>
      </c>
      <c r="J542" s="9">
        <v>71</v>
      </c>
    </row>
    <row r="543" spans="1:10" x14ac:dyDescent="0.3">
      <c r="A543" s="10">
        <v>542</v>
      </c>
      <c r="B543" s="11">
        <v>0</v>
      </c>
      <c r="C543" s="11">
        <v>3</v>
      </c>
      <c r="D543" s="11" t="s">
        <v>1005</v>
      </c>
      <c r="E543" s="11" t="s">
        <v>14</v>
      </c>
      <c r="F543" s="11">
        <v>9</v>
      </c>
      <c r="G543" s="11">
        <v>4</v>
      </c>
      <c r="H543" s="11">
        <v>2</v>
      </c>
      <c r="I543" s="11" t="s">
        <v>39</v>
      </c>
      <c r="J543" s="12">
        <v>31.274999999999999</v>
      </c>
    </row>
    <row r="544" spans="1:10" x14ac:dyDescent="0.3">
      <c r="A544" s="7">
        <v>543</v>
      </c>
      <c r="B544" s="8">
        <v>0</v>
      </c>
      <c r="C544" s="8">
        <v>3</v>
      </c>
      <c r="D544" s="8" t="s">
        <v>1006</v>
      </c>
      <c r="E544" s="8" t="s">
        <v>14</v>
      </c>
      <c r="F544" s="8">
        <v>11</v>
      </c>
      <c r="G544" s="8">
        <v>4</v>
      </c>
      <c r="H544" s="8">
        <v>2</v>
      </c>
      <c r="I544" s="8" t="s">
        <v>39</v>
      </c>
      <c r="J544" s="9">
        <v>31.274999999999999</v>
      </c>
    </row>
    <row r="545" spans="1:10" x14ac:dyDescent="0.3">
      <c r="A545" s="10">
        <v>544</v>
      </c>
      <c r="B545" s="11">
        <v>1</v>
      </c>
      <c r="C545" s="11">
        <v>2</v>
      </c>
      <c r="D545" s="11" t="s">
        <v>1007</v>
      </c>
      <c r="E545" s="11" t="s">
        <v>11</v>
      </c>
      <c r="F545" s="11">
        <v>32</v>
      </c>
      <c r="G545" s="11">
        <v>1</v>
      </c>
      <c r="H545" s="11">
        <v>0</v>
      </c>
      <c r="I545" s="11" t="s">
        <v>1008</v>
      </c>
      <c r="J545" s="12">
        <v>26</v>
      </c>
    </row>
    <row r="546" spans="1:10" x14ac:dyDescent="0.3">
      <c r="A546" s="7">
        <v>545</v>
      </c>
      <c r="B546" s="8">
        <v>0</v>
      </c>
      <c r="C546" s="8">
        <v>1</v>
      </c>
      <c r="D546" s="8" t="s">
        <v>1009</v>
      </c>
      <c r="E546" s="8" t="s">
        <v>11</v>
      </c>
      <c r="F546" s="8">
        <v>50</v>
      </c>
      <c r="G546" s="8">
        <v>1</v>
      </c>
      <c r="H546" s="8">
        <v>0</v>
      </c>
      <c r="I546" s="8" t="s">
        <v>998</v>
      </c>
      <c r="J546" s="9">
        <v>106.425</v>
      </c>
    </row>
    <row r="547" spans="1:10" x14ac:dyDescent="0.3">
      <c r="A547" s="10">
        <v>546</v>
      </c>
      <c r="B547" s="11">
        <v>0</v>
      </c>
      <c r="C547" s="11">
        <v>1</v>
      </c>
      <c r="D547" s="11" t="s">
        <v>1010</v>
      </c>
      <c r="E547" s="11" t="s">
        <v>11</v>
      </c>
      <c r="F547" s="11">
        <v>64</v>
      </c>
      <c r="G547" s="11">
        <v>0</v>
      </c>
      <c r="H547" s="11">
        <v>0</v>
      </c>
      <c r="I547" s="11" t="s">
        <v>1011</v>
      </c>
      <c r="J547" s="12">
        <v>26</v>
      </c>
    </row>
    <row r="548" spans="1:10" x14ac:dyDescent="0.3">
      <c r="A548" s="7">
        <v>547</v>
      </c>
      <c r="B548" s="8">
        <v>1</v>
      </c>
      <c r="C548" s="8">
        <v>2</v>
      </c>
      <c r="D548" s="8" t="s">
        <v>1012</v>
      </c>
      <c r="E548" s="8" t="s">
        <v>14</v>
      </c>
      <c r="F548" s="8">
        <v>19</v>
      </c>
      <c r="G548" s="8">
        <v>1</v>
      </c>
      <c r="H548" s="8">
        <v>0</v>
      </c>
      <c r="I548" s="8" t="s">
        <v>1008</v>
      </c>
      <c r="J548" s="9">
        <v>26</v>
      </c>
    </row>
    <row r="549" spans="1:10" x14ac:dyDescent="0.3">
      <c r="A549" s="10">
        <v>548</v>
      </c>
      <c r="B549" s="11">
        <v>1</v>
      </c>
      <c r="C549" s="11">
        <v>2</v>
      </c>
      <c r="D549" s="11" t="s">
        <v>1013</v>
      </c>
      <c r="E549" s="11" t="s">
        <v>11</v>
      </c>
      <c r="F549" s="11"/>
      <c r="G549" s="11">
        <v>0</v>
      </c>
      <c r="H549" s="11">
        <v>0</v>
      </c>
      <c r="I549" s="11" t="s">
        <v>1014</v>
      </c>
      <c r="J549" s="12">
        <v>13.862500000000001</v>
      </c>
    </row>
    <row r="550" spans="1:10" x14ac:dyDescent="0.3">
      <c r="A550" s="7">
        <v>549</v>
      </c>
      <c r="B550" s="8">
        <v>0</v>
      </c>
      <c r="C550" s="8">
        <v>3</v>
      </c>
      <c r="D550" s="8" t="s">
        <v>1015</v>
      </c>
      <c r="E550" s="8" t="s">
        <v>11</v>
      </c>
      <c r="F550" s="8">
        <v>33</v>
      </c>
      <c r="G550" s="8">
        <v>1</v>
      </c>
      <c r="H550" s="8">
        <v>1</v>
      </c>
      <c r="I550" s="8" t="s">
        <v>331</v>
      </c>
      <c r="J550" s="9">
        <v>20.524999999999999</v>
      </c>
    </row>
    <row r="551" spans="1:10" x14ac:dyDescent="0.3">
      <c r="A551" s="10">
        <v>550</v>
      </c>
      <c r="B551" s="11">
        <v>1</v>
      </c>
      <c r="C551" s="11">
        <v>2</v>
      </c>
      <c r="D551" s="11" t="s">
        <v>1016</v>
      </c>
      <c r="E551" s="11" t="s">
        <v>11</v>
      </c>
      <c r="F551" s="11">
        <v>8</v>
      </c>
      <c r="G551" s="11">
        <v>1</v>
      </c>
      <c r="H551" s="11">
        <v>1</v>
      </c>
      <c r="I551" s="11" t="s">
        <v>293</v>
      </c>
      <c r="J551" s="12">
        <v>36.75</v>
      </c>
    </row>
    <row r="552" spans="1:10" x14ac:dyDescent="0.3">
      <c r="A552" s="7">
        <v>551</v>
      </c>
      <c r="B552" s="8">
        <v>1</v>
      </c>
      <c r="C552" s="8">
        <v>1</v>
      </c>
      <c r="D552" s="8" t="s">
        <v>1017</v>
      </c>
      <c r="E552" s="8" t="s">
        <v>11</v>
      </c>
      <c r="F552" s="8">
        <v>17</v>
      </c>
      <c r="G552" s="8">
        <v>0</v>
      </c>
      <c r="H552" s="8">
        <v>2</v>
      </c>
      <c r="I552" s="8" t="s">
        <v>591</v>
      </c>
      <c r="J552" s="9">
        <v>110.88330000000001</v>
      </c>
    </row>
    <row r="553" spans="1:10" x14ac:dyDescent="0.3">
      <c r="A553" s="10">
        <v>552</v>
      </c>
      <c r="B553" s="11">
        <v>0</v>
      </c>
      <c r="C553" s="11">
        <v>2</v>
      </c>
      <c r="D553" s="11" t="s">
        <v>1018</v>
      </c>
      <c r="E553" s="11" t="s">
        <v>11</v>
      </c>
      <c r="F553" s="11">
        <v>27</v>
      </c>
      <c r="G553" s="11">
        <v>0</v>
      </c>
      <c r="H553" s="11">
        <v>0</v>
      </c>
      <c r="I553" s="11" t="s">
        <v>1019</v>
      </c>
      <c r="J553" s="12">
        <v>26</v>
      </c>
    </row>
    <row r="554" spans="1:10" x14ac:dyDescent="0.3">
      <c r="A554" s="7">
        <v>553</v>
      </c>
      <c r="B554" s="8">
        <v>0</v>
      </c>
      <c r="C554" s="8">
        <v>3</v>
      </c>
      <c r="D554" s="8" t="s">
        <v>1020</v>
      </c>
      <c r="E554" s="8" t="s">
        <v>11</v>
      </c>
      <c r="F554" s="8"/>
      <c r="G554" s="8">
        <v>0</v>
      </c>
      <c r="H554" s="8">
        <v>0</v>
      </c>
      <c r="I554" s="8" t="s">
        <v>1021</v>
      </c>
      <c r="J554" s="9">
        <v>7.8292000000000002</v>
      </c>
    </row>
    <row r="555" spans="1:10" x14ac:dyDescent="0.3">
      <c r="A555" s="10">
        <v>554</v>
      </c>
      <c r="B555" s="11">
        <v>1</v>
      </c>
      <c r="C555" s="11">
        <v>3</v>
      </c>
      <c r="D555" s="11" t="s">
        <v>1022</v>
      </c>
      <c r="E555" s="11" t="s">
        <v>11</v>
      </c>
      <c r="F555" s="11">
        <v>22</v>
      </c>
      <c r="G555" s="11">
        <v>0</v>
      </c>
      <c r="H555" s="11">
        <v>0</v>
      </c>
      <c r="I555" s="11" t="s">
        <v>1023</v>
      </c>
      <c r="J555" s="12">
        <v>7.2249999999999996</v>
      </c>
    </row>
    <row r="556" spans="1:10" x14ac:dyDescent="0.3">
      <c r="A556" s="7">
        <v>555</v>
      </c>
      <c r="B556" s="8">
        <v>1</v>
      </c>
      <c r="C556" s="8">
        <v>3</v>
      </c>
      <c r="D556" s="8" t="s">
        <v>1024</v>
      </c>
      <c r="E556" s="8" t="s">
        <v>14</v>
      </c>
      <c r="F556" s="8">
        <v>22</v>
      </c>
      <c r="G556" s="8">
        <v>0</v>
      </c>
      <c r="H556" s="8">
        <v>0</v>
      </c>
      <c r="I556" s="8" t="s">
        <v>1025</v>
      </c>
      <c r="J556" s="9">
        <v>7.7750000000000004</v>
      </c>
    </row>
    <row r="557" spans="1:10" x14ac:dyDescent="0.3">
      <c r="A557" s="10">
        <v>556</v>
      </c>
      <c r="B557" s="11">
        <v>0</v>
      </c>
      <c r="C557" s="11">
        <v>1</v>
      </c>
      <c r="D557" s="11" t="s">
        <v>1026</v>
      </c>
      <c r="E557" s="11" t="s">
        <v>11</v>
      </c>
      <c r="F557" s="11">
        <v>62</v>
      </c>
      <c r="G557" s="11">
        <v>0</v>
      </c>
      <c r="H557" s="11">
        <v>0</v>
      </c>
      <c r="I557" s="11" t="s">
        <v>1027</v>
      </c>
      <c r="J557" s="12">
        <v>26.55</v>
      </c>
    </row>
    <row r="558" spans="1:10" x14ac:dyDescent="0.3">
      <c r="A558" s="7">
        <v>557</v>
      </c>
      <c r="B558" s="8">
        <v>1</v>
      </c>
      <c r="C558" s="8">
        <v>1</v>
      </c>
      <c r="D558" s="8" t="s">
        <v>1028</v>
      </c>
      <c r="E558" s="8" t="s">
        <v>14</v>
      </c>
      <c r="F558" s="8">
        <v>48</v>
      </c>
      <c r="G558" s="8">
        <v>1</v>
      </c>
      <c r="H558" s="8">
        <v>0</v>
      </c>
      <c r="I558" s="8" t="s">
        <v>1029</v>
      </c>
      <c r="J558" s="9">
        <v>39.6</v>
      </c>
    </row>
    <row r="559" spans="1:10" x14ac:dyDescent="0.3">
      <c r="A559" s="10">
        <v>558</v>
      </c>
      <c r="B559" s="11">
        <v>0</v>
      </c>
      <c r="C559" s="11">
        <v>1</v>
      </c>
      <c r="D559" s="11" t="s">
        <v>1030</v>
      </c>
      <c r="E559" s="11" t="s">
        <v>11</v>
      </c>
      <c r="F559" s="11"/>
      <c r="G559" s="11">
        <v>0</v>
      </c>
      <c r="H559" s="11">
        <v>0</v>
      </c>
      <c r="I559" s="11" t="s">
        <v>720</v>
      </c>
      <c r="J559" s="12">
        <v>227.52500000000001</v>
      </c>
    </row>
    <row r="560" spans="1:10" x14ac:dyDescent="0.3">
      <c r="A560" s="7">
        <v>559</v>
      </c>
      <c r="B560" s="8">
        <v>1</v>
      </c>
      <c r="C560" s="8">
        <v>1</v>
      </c>
      <c r="D560" s="8" t="s">
        <v>1031</v>
      </c>
      <c r="E560" s="8" t="s">
        <v>14</v>
      </c>
      <c r="F560" s="8">
        <v>39</v>
      </c>
      <c r="G560" s="8">
        <v>1</v>
      </c>
      <c r="H560" s="8">
        <v>1</v>
      </c>
      <c r="I560" s="8" t="s">
        <v>509</v>
      </c>
      <c r="J560" s="9">
        <v>79.650000000000006</v>
      </c>
    </row>
    <row r="561" spans="1:10" x14ac:dyDescent="0.3">
      <c r="A561" s="10">
        <v>560</v>
      </c>
      <c r="B561" s="11">
        <v>1</v>
      </c>
      <c r="C561" s="11">
        <v>3</v>
      </c>
      <c r="D561" s="11" t="s">
        <v>1032</v>
      </c>
      <c r="E561" s="11" t="s">
        <v>14</v>
      </c>
      <c r="F561" s="11">
        <v>36</v>
      </c>
      <c r="G561" s="11">
        <v>1</v>
      </c>
      <c r="H561" s="11">
        <v>0</v>
      </c>
      <c r="I561" s="11" t="s">
        <v>1033</v>
      </c>
      <c r="J561" s="12">
        <v>17.399999999999999</v>
      </c>
    </row>
    <row r="562" spans="1:10" x14ac:dyDescent="0.3">
      <c r="A562" s="7">
        <v>561</v>
      </c>
      <c r="B562" s="8">
        <v>0</v>
      </c>
      <c r="C562" s="8">
        <v>3</v>
      </c>
      <c r="D562" s="8" t="s">
        <v>1034</v>
      </c>
      <c r="E562" s="8" t="s">
        <v>11</v>
      </c>
      <c r="F562" s="8"/>
      <c r="G562" s="8">
        <v>0</v>
      </c>
      <c r="H562" s="8">
        <v>0</v>
      </c>
      <c r="I562" s="8" t="s">
        <v>1035</v>
      </c>
      <c r="J562" s="9">
        <v>7.75</v>
      </c>
    </row>
    <row r="563" spans="1:10" x14ac:dyDescent="0.3">
      <c r="A563" s="10">
        <v>562</v>
      </c>
      <c r="B563" s="11">
        <v>0</v>
      </c>
      <c r="C563" s="11">
        <v>3</v>
      </c>
      <c r="D563" s="11" t="s">
        <v>1036</v>
      </c>
      <c r="E563" s="11" t="s">
        <v>11</v>
      </c>
      <c r="F563" s="11">
        <v>40</v>
      </c>
      <c r="G563" s="11">
        <v>0</v>
      </c>
      <c r="H563" s="11">
        <v>0</v>
      </c>
      <c r="I563" s="11" t="s">
        <v>1037</v>
      </c>
      <c r="J563" s="12">
        <v>7.8958000000000004</v>
      </c>
    </row>
    <row r="564" spans="1:10" x14ac:dyDescent="0.3">
      <c r="A564" s="7">
        <v>563</v>
      </c>
      <c r="B564" s="8">
        <v>0</v>
      </c>
      <c r="C564" s="8">
        <v>2</v>
      </c>
      <c r="D564" s="8" t="s">
        <v>1038</v>
      </c>
      <c r="E564" s="8" t="s">
        <v>11</v>
      </c>
      <c r="F564" s="8">
        <v>28</v>
      </c>
      <c r="G564" s="8">
        <v>0</v>
      </c>
      <c r="H564" s="8">
        <v>0</v>
      </c>
      <c r="I564" s="8" t="s">
        <v>1039</v>
      </c>
      <c r="J564" s="9">
        <v>13.5</v>
      </c>
    </row>
    <row r="565" spans="1:10" x14ac:dyDescent="0.3">
      <c r="A565" s="10">
        <v>564</v>
      </c>
      <c r="B565" s="11">
        <v>0</v>
      </c>
      <c r="C565" s="11">
        <v>3</v>
      </c>
      <c r="D565" s="11" t="s">
        <v>1040</v>
      </c>
      <c r="E565" s="11" t="s">
        <v>11</v>
      </c>
      <c r="F565" s="11"/>
      <c r="G565" s="11">
        <v>0</v>
      </c>
      <c r="H565" s="11">
        <v>0</v>
      </c>
      <c r="I565" s="11" t="s">
        <v>1041</v>
      </c>
      <c r="J565" s="12">
        <v>8.0500000000000007</v>
      </c>
    </row>
    <row r="566" spans="1:10" x14ac:dyDescent="0.3">
      <c r="A566" s="7">
        <v>565</v>
      </c>
      <c r="B566" s="8">
        <v>0</v>
      </c>
      <c r="C566" s="8">
        <v>3</v>
      </c>
      <c r="D566" s="8" t="s">
        <v>1042</v>
      </c>
      <c r="E566" s="8" t="s">
        <v>14</v>
      </c>
      <c r="F566" s="8"/>
      <c r="G566" s="8">
        <v>0</v>
      </c>
      <c r="H566" s="8">
        <v>0</v>
      </c>
      <c r="I566" s="8" t="s">
        <v>1043</v>
      </c>
      <c r="J566" s="9">
        <v>8.0500000000000007</v>
      </c>
    </row>
    <row r="567" spans="1:10" x14ac:dyDescent="0.3">
      <c r="A567" s="10">
        <v>566</v>
      </c>
      <c r="B567" s="11">
        <v>0</v>
      </c>
      <c r="C567" s="11">
        <v>3</v>
      </c>
      <c r="D567" s="11" t="s">
        <v>1044</v>
      </c>
      <c r="E567" s="11" t="s">
        <v>11</v>
      </c>
      <c r="F567" s="11">
        <v>24</v>
      </c>
      <c r="G567" s="11">
        <v>2</v>
      </c>
      <c r="H567" s="11">
        <v>0</v>
      </c>
      <c r="I567" s="11" t="s">
        <v>1045</v>
      </c>
      <c r="J567" s="12">
        <v>24.15</v>
      </c>
    </row>
    <row r="568" spans="1:10" x14ac:dyDescent="0.3">
      <c r="A568" s="7">
        <v>567</v>
      </c>
      <c r="B568" s="8">
        <v>0</v>
      </c>
      <c r="C568" s="8">
        <v>3</v>
      </c>
      <c r="D568" s="8" t="s">
        <v>1046</v>
      </c>
      <c r="E568" s="8" t="s">
        <v>11</v>
      </c>
      <c r="F568" s="8">
        <v>19</v>
      </c>
      <c r="G568" s="8">
        <v>0</v>
      </c>
      <c r="H568" s="8">
        <v>0</v>
      </c>
      <c r="I568" s="8" t="s">
        <v>1047</v>
      </c>
      <c r="J568" s="9">
        <v>7.8958000000000004</v>
      </c>
    </row>
    <row r="569" spans="1:10" x14ac:dyDescent="0.3">
      <c r="A569" s="10">
        <v>568</v>
      </c>
      <c r="B569" s="11">
        <v>0</v>
      </c>
      <c r="C569" s="11">
        <v>3</v>
      </c>
      <c r="D569" s="11" t="s">
        <v>1048</v>
      </c>
      <c r="E569" s="11" t="s">
        <v>14</v>
      </c>
      <c r="F569" s="11">
        <v>29</v>
      </c>
      <c r="G569" s="11">
        <v>0</v>
      </c>
      <c r="H569" s="11">
        <v>4</v>
      </c>
      <c r="I569" s="11" t="s">
        <v>27</v>
      </c>
      <c r="J569" s="12">
        <v>21.074999999999999</v>
      </c>
    </row>
    <row r="570" spans="1:10" x14ac:dyDescent="0.3">
      <c r="A570" s="7">
        <v>569</v>
      </c>
      <c r="B570" s="8">
        <v>0</v>
      </c>
      <c r="C570" s="8">
        <v>3</v>
      </c>
      <c r="D570" s="8" t="s">
        <v>1049</v>
      </c>
      <c r="E570" s="8" t="s">
        <v>11</v>
      </c>
      <c r="F570" s="8"/>
      <c r="G570" s="8">
        <v>0</v>
      </c>
      <c r="H570" s="8">
        <v>0</v>
      </c>
      <c r="I570" s="8" t="s">
        <v>1050</v>
      </c>
      <c r="J570" s="9">
        <v>7.2291999999999996</v>
      </c>
    </row>
    <row r="571" spans="1:10" x14ac:dyDescent="0.3">
      <c r="A571" s="10">
        <v>570</v>
      </c>
      <c r="B571" s="11">
        <v>1</v>
      </c>
      <c r="C571" s="11">
        <v>3</v>
      </c>
      <c r="D571" s="11" t="s">
        <v>1051</v>
      </c>
      <c r="E571" s="11" t="s">
        <v>11</v>
      </c>
      <c r="F571" s="11">
        <v>32</v>
      </c>
      <c r="G571" s="11">
        <v>0</v>
      </c>
      <c r="H571" s="11">
        <v>0</v>
      </c>
      <c r="I571" s="11" t="s">
        <v>1052</v>
      </c>
      <c r="J571" s="12">
        <v>7.8541999999999996</v>
      </c>
    </row>
    <row r="572" spans="1:10" x14ac:dyDescent="0.3">
      <c r="A572" s="7">
        <v>571</v>
      </c>
      <c r="B572" s="8">
        <v>1</v>
      </c>
      <c r="C572" s="8">
        <v>2</v>
      </c>
      <c r="D572" s="8" t="s">
        <v>1053</v>
      </c>
      <c r="E572" s="8" t="s">
        <v>11</v>
      </c>
      <c r="F572" s="8">
        <v>62</v>
      </c>
      <c r="G572" s="8">
        <v>0</v>
      </c>
      <c r="H572" s="8">
        <v>0</v>
      </c>
      <c r="I572" s="8" t="s">
        <v>1054</v>
      </c>
      <c r="J572" s="9">
        <v>10.5</v>
      </c>
    </row>
    <row r="573" spans="1:10" x14ac:dyDescent="0.3">
      <c r="A573" s="10">
        <v>572</v>
      </c>
      <c r="B573" s="11">
        <v>1</v>
      </c>
      <c r="C573" s="11">
        <v>1</v>
      </c>
      <c r="D573" s="11" t="s">
        <v>1055</v>
      </c>
      <c r="E573" s="11" t="s">
        <v>14</v>
      </c>
      <c r="F573" s="11">
        <v>53</v>
      </c>
      <c r="G573" s="11">
        <v>2</v>
      </c>
      <c r="H573" s="11">
        <v>0</v>
      </c>
      <c r="I573" s="11" t="s">
        <v>1056</v>
      </c>
      <c r="J573" s="12">
        <v>51.479199999999999</v>
      </c>
    </row>
    <row r="574" spans="1:10" x14ac:dyDescent="0.3">
      <c r="A574" s="7">
        <v>573</v>
      </c>
      <c r="B574" s="8">
        <v>1</v>
      </c>
      <c r="C574" s="8">
        <v>1</v>
      </c>
      <c r="D574" s="8" t="s">
        <v>1057</v>
      </c>
      <c r="E574" s="8" t="s">
        <v>11</v>
      </c>
      <c r="F574" s="8">
        <v>36</v>
      </c>
      <c r="G574" s="8">
        <v>0</v>
      </c>
      <c r="H574" s="8">
        <v>0</v>
      </c>
      <c r="I574" s="8" t="s">
        <v>1058</v>
      </c>
      <c r="J574" s="9">
        <v>26.387499999999999</v>
      </c>
    </row>
    <row r="575" spans="1:10" x14ac:dyDescent="0.3">
      <c r="A575" s="10">
        <v>574</v>
      </c>
      <c r="B575" s="11">
        <v>1</v>
      </c>
      <c r="C575" s="11">
        <v>3</v>
      </c>
      <c r="D575" s="11" t="s">
        <v>1059</v>
      </c>
      <c r="E575" s="11" t="s">
        <v>14</v>
      </c>
      <c r="F575" s="11"/>
      <c r="G575" s="11">
        <v>0</v>
      </c>
      <c r="H575" s="11">
        <v>0</v>
      </c>
      <c r="I575" s="11" t="s">
        <v>1060</v>
      </c>
      <c r="J575" s="12">
        <v>7.75</v>
      </c>
    </row>
    <row r="576" spans="1:10" x14ac:dyDescent="0.3">
      <c r="A576" s="7">
        <v>575</v>
      </c>
      <c r="B576" s="8">
        <v>0</v>
      </c>
      <c r="C576" s="8">
        <v>3</v>
      </c>
      <c r="D576" s="8" t="s">
        <v>1061</v>
      </c>
      <c r="E576" s="8" t="s">
        <v>11</v>
      </c>
      <c r="F576" s="8">
        <v>16</v>
      </c>
      <c r="G576" s="8">
        <v>0</v>
      </c>
      <c r="H576" s="8">
        <v>0</v>
      </c>
      <c r="I576" s="8" t="s">
        <v>1062</v>
      </c>
      <c r="J576" s="9">
        <v>8.0500000000000007</v>
      </c>
    </row>
    <row r="577" spans="1:10" x14ac:dyDescent="0.3">
      <c r="A577" s="10">
        <v>576</v>
      </c>
      <c r="B577" s="11">
        <v>0</v>
      </c>
      <c r="C577" s="11">
        <v>3</v>
      </c>
      <c r="D577" s="11" t="s">
        <v>1063</v>
      </c>
      <c r="E577" s="11" t="s">
        <v>11</v>
      </c>
      <c r="F577" s="11">
        <v>19</v>
      </c>
      <c r="G577" s="11">
        <v>0</v>
      </c>
      <c r="H577" s="11">
        <v>0</v>
      </c>
      <c r="I577" s="11" t="s">
        <v>1064</v>
      </c>
      <c r="J577" s="12">
        <v>14.5</v>
      </c>
    </row>
    <row r="578" spans="1:10" x14ac:dyDescent="0.3">
      <c r="A578" s="7">
        <v>577</v>
      </c>
      <c r="B578" s="8">
        <v>1</v>
      </c>
      <c r="C578" s="8">
        <v>2</v>
      </c>
      <c r="D578" s="8" t="s">
        <v>1065</v>
      </c>
      <c r="E578" s="8" t="s">
        <v>14</v>
      </c>
      <c r="F578" s="8">
        <v>34</v>
      </c>
      <c r="G578" s="8">
        <v>0</v>
      </c>
      <c r="H578" s="8">
        <v>0</v>
      </c>
      <c r="I578" s="8" t="s">
        <v>1066</v>
      </c>
      <c r="J578" s="9">
        <v>13</v>
      </c>
    </row>
    <row r="579" spans="1:10" x14ac:dyDescent="0.3">
      <c r="A579" s="10">
        <v>578</v>
      </c>
      <c r="B579" s="11">
        <v>1</v>
      </c>
      <c r="C579" s="11">
        <v>1</v>
      </c>
      <c r="D579" s="11" t="s">
        <v>1067</v>
      </c>
      <c r="E579" s="11" t="s">
        <v>14</v>
      </c>
      <c r="F579" s="11">
        <v>39</v>
      </c>
      <c r="G579" s="11">
        <v>1</v>
      </c>
      <c r="H579" s="11">
        <v>0</v>
      </c>
      <c r="I579" s="11" t="s">
        <v>818</v>
      </c>
      <c r="J579" s="12">
        <v>55.9</v>
      </c>
    </row>
    <row r="580" spans="1:10" x14ac:dyDescent="0.3">
      <c r="A580" s="7">
        <v>579</v>
      </c>
      <c r="B580" s="8">
        <v>0</v>
      </c>
      <c r="C580" s="8">
        <v>3</v>
      </c>
      <c r="D580" s="8" t="s">
        <v>1068</v>
      </c>
      <c r="E580" s="8" t="s">
        <v>14</v>
      </c>
      <c r="F580" s="8"/>
      <c r="G580" s="8">
        <v>1</v>
      </c>
      <c r="H580" s="8">
        <v>0</v>
      </c>
      <c r="I580" s="8" t="s">
        <v>1069</v>
      </c>
      <c r="J580" s="9">
        <v>14.458299999999999</v>
      </c>
    </row>
    <row r="581" spans="1:10" x14ac:dyDescent="0.3">
      <c r="A581" s="10">
        <v>580</v>
      </c>
      <c r="B581" s="11">
        <v>1</v>
      </c>
      <c r="C581" s="11">
        <v>3</v>
      </c>
      <c r="D581" s="11" t="s">
        <v>1070</v>
      </c>
      <c r="E581" s="11" t="s">
        <v>11</v>
      </c>
      <c r="F581" s="11">
        <v>32</v>
      </c>
      <c r="G581" s="11">
        <v>0</v>
      </c>
      <c r="H581" s="11">
        <v>0</v>
      </c>
      <c r="I581" s="11" t="s">
        <v>1071</v>
      </c>
      <c r="J581" s="12">
        <v>7.9249999999999998</v>
      </c>
    </row>
    <row r="582" spans="1:10" x14ac:dyDescent="0.3">
      <c r="A582" s="7">
        <v>581</v>
      </c>
      <c r="B582" s="8">
        <v>1</v>
      </c>
      <c r="C582" s="8">
        <v>2</v>
      </c>
      <c r="D582" s="8" t="s">
        <v>1072</v>
      </c>
      <c r="E582" s="8" t="s">
        <v>14</v>
      </c>
      <c r="F582" s="8">
        <v>25</v>
      </c>
      <c r="G582" s="8">
        <v>1</v>
      </c>
      <c r="H582" s="8">
        <v>1</v>
      </c>
      <c r="I582" s="8" t="s">
        <v>1073</v>
      </c>
      <c r="J582" s="9">
        <v>30</v>
      </c>
    </row>
    <row r="583" spans="1:10" x14ac:dyDescent="0.3">
      <c r="A583" s="10">
        <v>582</v>
      </c>
      <c r="B583" s="11">
        <v>1</v>
      </c>
      <c r="C583" s="11">
        <v>1</v>
      </c>
      <c r="D583" s="11" t="s">
        <v>1074</v>
      </c>
      <c r="E583" s="11" t="s">
        <v>14</v>
      </c>
      <c r="F583" s="11">
        <v>39</v>
      </c>
      <c r="G583" s="11">
        <v>1</v>
      </c>
      <c r="H583" s="11">
        <v>1</v>
      </c>
      <c r="I583" s="11" t="s">
        <v>591</v>
      </c>
      <c r="J583" s="12">
        <v>110.88330000000001</v>
      </c>
    </row>
    <row r="584" spans="1:10" x14ac:dyDescent="0.3">
      <c r="A584" s="7">
        <v>583</v>
      </c>
      <c r="B584" s="8">
        <v>0</v>
      </c>
      <c r="C584" s="8">
        <v>2</v>
      </c>
      <c r="D584" s="8" t="s">
        <v>1075</v>
      </c>
      <c r="E584" s="8" t="s">
        <v>11</v>
      </c>
      <c r="F584" s="8">
        <v>54</v>
      </c>
      <c r="G584" s="8">
        <v>0</v>
      </c>
      <c r="H584" s="8">
        <v>0</v>
      </c>
      <c r="I584" s="8" t="s">
        <v>749</v>
      </c>
      <c r="J584" s="9">
        <v>26</v>
      </c>
    </row>
    <row r="585" spans="1:10" x14ac:dyDescent="0.3">
      <c r="A585" s="10">
        <v>584</v>
      </c>
      <c r="B585" s="11">
        <v>0</v>
      </c>
      <c r="C585" s="11">
        <v>1</v>
      </c>
      <c r="D585" s="11" t="s">
        <v>1076</v>
      </c>
      <c r="E585" s="11" t="s">
        <v>11</v>
      </c>
      <c r="F585" s="11">
        <v>36</v>
      </c>
      <c r="G585" s="11">
        <v>0</v>
      </c>
      <c r="H585" s="11">
        <v>0</v>
      </c>
      <c r="I585" s="11" t="s">
        <v>1077</v>
      </c>
      <c r="J585" s="12">
        <v>40.125</v>
      </c>
    </row>
    <row r="586" spans="1:10" x14ac:dyDescent="0.3">
      <c r="A586" s="7">
        <v>585</v>
      </c>
      <c r="B586" s="8">
        <v>0</v>
      </c>
      <c r="C586" s="8">
        <v>3</v>
      </c>
      <c r="D586" s="8" t="s">
        <v>1078</v>
      </c>
      <c r="E586" s="8" t="s">
        <v>11</v>
      </c>
      <c r="F586" s="8"/>
      <c r="G586" s="8">
        <v>0</v>
      </c>
      <c r="H586" s="8">
        <v>0</v>
      </c>
      <c r="I586" s="8" t="s">
        <v>1079</v>
      </c>
      <c r="J586" s="9">
        <v>8.7125000000000004</v>
      </c>
    </row>
    <row r="587" spans="1:10" x14ac:dyDescent="0.3">
      <c r="A587" s="10">
        <v>586</v>
      </c>
      <c r="B587" s="11">
        <v>1</v>
      </c>
      <c r="C587" s="11">
        <v>1</v>
      </c>
      <c r="D587" s="11" t="s">
        <v>1080</v>
      </c>
      <c r="E587" s="11" t="s">
        <v>14</v>
      </c>
      <c r="F587" s="11">
        <v>18</v>
      </c>
      <c r="G587" s="11">
        <v>0</v>
      </c>
      <c r="H587" s="11">
        <v>2</v>
      </c>
      <c r="I587" s="11" t="s">
        <v>509</v>
      </c>
      <c r="J587" s="12">
        <v>79.650000000000006</v>
      </c>
    </row>
    <row r="588" spans="1:10" x14ac:dyDescent="0.3">
      <c r="A588" s="7">
        <v>587</v>
      </c>
      <c r="B588" s="8">
        <v>0</v>
      </c>
      <c r="C588" s="8">
        <v>2</v>
      </c>
      <c r="D588" s="8" t="s">
        <v>1081</v>
      </c>
      <c r="E588" s="8" t="s">
        <v>11</v>
      </c>
      <c r="F588" s="8">
        <v>47</v>
      </c>
      <c r="G588" s="8">
        <v>0</v>
      </c>
      <c r="H588" s="8">
        <v>0</v>
      </c>
      <c r="I588" s="8" t="s">
        <v>1082</v>
      </c>
      <c r="J588" s="9">
        <v>15</v>
      </c>
    </row>
    <row r="589" spans="1:10" x14ac:dyDescent="0.3">
      <c r="A589" s="10">
        <v>588</v>
      </c>
      <c r="B589" s="11">
        <v>1</v>
      </c>
      <c r="C589" s="11">
        <v>1</v>
      </c>
      <c r="D589" s="11" t="s">
        <v>1083</v>
      </c>
      <c r="E589" s="11" t="s">
        <v>11</v>
      </c>
      <c r="F589" s="11">
        <v>60</v>
      </c>
      <c r="G589" s="11">
        <v>1</v>
      </c>
      <c r="H589" s="11">
        <v>1</v>
      </c>
      <c r="I589" s="11" t="s">
        <v>1084</v>
      </c>
      <c r="J589" s="12">
        <v>79.2</v>
      </c>
    </row>
    <row r="590" spans="1:10" x14ac:dyDescent="0.3">
      <c r="A590" s="7">
        <v>589</v>
      </c>
      <c r="B590" s="8">
        <v>0</v>
      </c>
      <c r="C590" s="8">
        <v>3</v>
      </c>
      <c r="D590" s="8" t="s">
        <v>1085</v>
      </c>
      <c r="E590" s="8" t="s">
        <v>11</v>
      </c>
      <c r="F590" s="8">
        <v>22</v>
      </c>
      <c r="G590" s="8">
        <v>0</v>
      </c>
      <c r="H590" s="8">
        <v>0</v>
      </c>
      <c r="I590" s="8" t="s">
        <v>1086</v>
      </c>
      <c r="J590" s="9">
        <v>8.0500000000000007</v>
      </c>
    </row>
    <row r="591" spans="1:10" x14ac:dyDescent="0.3">
      <c r="A591" s="10">
        <v>590</v>
      </c>
      <c r="B591" s="11">
        <v>0</v>
      </c>
      <c r="C591" s="11">
        <v>3</v>
      </c>
      <c r="D591" s="11" t="s">
        <v>1087</v>
      </c>
      <c r="E591" s="11" t="s">
        <v>11</v>
      </c>
      <c r="F591" s="11"/>
      <c r="G591" s="11">
        <v>0</v>
      </c>
      <c r="H591" s="11">
        <v>0</v>
      </c>
      <c r="I591" s="11" t="s">
        <v>1088</v>
      </c>
      <c r="J591" s="12">
        <v>8.0500000000000007</v>
      </c>
    </row>
    <row r="592" spans="1:10" x14ac:dyDescent="0.3">
      <c r="A592" s="7">
        <v>591</v>
      </c>
      <c r="B592" s="8">
        <v>0</v>
      </c>
      <c r="C592" s="8">
        <v>3</v>
      </c>
      <c r="D592" s="8" t="s">
        <v>1089</v>
      </c>
      <c r="E592" s="8" t="s">
        <v>11</v>
      </c>
      <c r="F592" s="8">
        <v>35</v>
      </c>
      <c r="G592" s="8">
        <v>0</v>
      </c>
      <c r="H592" s="8">
        <v>0</v>
      </c>
      <c r="I592" s="8" t="s">
        <v>1090</v>
      </c>
      <c r="J592" s="9">
        <v>7.125</v>
      </c>
    </row>
    <row r="593" spans="1:10" x14ac:dyDescent="0.3">
      <c r="A593" s="10">
        <v>592</v>
      </c>
      <c r="B593" s="11">
        <v>1</v>
      </c>
      <c r="C593" s="11">
        <v>1</v>
      </c>
      <c r="D593" s="11" t="s">
        <v>1091</v>
      </c>
      <c r="E593" s="11" t="s">
        <v>14</v>
      </c>
      <c r="F593" s="11">
        <v>52</v>
      </c>
      <c r="G593" s="11">
        <v>1</v>
      </c>
      <c r="H593" s="11">
        <v>0</v>
      </c>
      <c r="I593" s="11" t="s">
        <v>925</v>
      </c>
      <c r="J593" s="12">
        <v>78.2667</v>
      </c>
    </row>
    <row r="594" spans="1:10" x14ac:dyDescent="0.3">
      <c r="A594" s="7">
        <v>593</v>
      </c>
      <c r="B594" s="8">
        <v>0</v>
      </c>
      <c r="C594" s="8">
        <v>3</v>
      </c>
      <c r="D594" s="8" t="s">
        <v>1092</v>
      </c>
      <c r="E594" s="8" t="s">
        <v>11</v>
      </c>
      <c r="F594" s="8">
        <v>47</v>
      </c>
      <c r="G594" s="8">
        <v>0</v>
      </c>
      <c r="H594" s="8">
        <v>0</v>
      </c>
      <c r="I594" s="8" t="s">
        <v>1093</v>
      </c>
      <c r="J594" s="9">
        <v>7.25</v>
      </c>
    </row>
    <row r="595" spans="1:10" x14ac:dyDescent="0.3">
      <c r="A595" s="10">
        <v>594</v>
      </c>
      <c r="B595" s="11">
        <v>0</v>
      </c>
      <c r="C595" s="11">
        <v>3</v>
      </c>
      <c r="D595" s="11" t="s">
        <v>1094</v>
      </c>
      <c r="E595" s="11" t="s">
        <v>14</v>
      </c>
      <c r="F595" s="11"/>
      <c r="G595" s="11">
        <v>0</v>
      </c>
      <c r="H595" s="11">
        <v>2</v>
      </c>
      <c r="I595" s="11" t="s">
        <v>1095</v>
      </c>
      <c r="J595" s="12">
        <v>7.75</v>
      </c>
    </row>
    <row r="596" spans="1:10" x14ac:dyDescent="0.3">
      <c r="A596" s="7">
        <v>595</v>
      </c>
      <c r="B596" s="8">
        <v>0</v>
      </c>
      <c r="C596" s="8">
        <v>2</v>
      </c>
      <c r="D596" s="8" t="s">
        <v>1096</v>
      </c>
      <c r="E596" s="8" t="s">
        <v>11</v>
      </c>
      <c r="F596" s="8">
        <v>37</v>
      </c>
      <c r="G596" s="8">
        <v>1</v>
      </c>
      <c r="H596" s="8">
        <v>0</v>
      </c>
      <c r="I596" s="8" t="s">
        <v>1097</v>
      </c>
      <c r="J596" s="9">
        <v>26</v>
      </c>
    </row>
    <row r="597" spans="1:10" x14ac:dyDescent="0.3">
      <c r="A597" s="10">
        <v>596</v>
      </c>
      <c r="B597" s="11">
        <v>0</v>
      </c>
      <c r="C597" s="11">
        <v>3</v>
      </c>
      <c r="D597" s="11" t="s">
        <v>1098</v>
      </c>
      <c r="E597" s="11" t="s">
        <v>11</v>
      </c>
      <c r="F597" s="11">
        <v>36</v>
      </c>
      <c r="G597" s="11">
        <v>1</v>
      </c>
      <c r="H597" s="11">
        <v>1</v>
      </c>
      <c r="I597" s="11" t="s">
        <v>789</v>
      </c>
      <c r="J597" s="12">
        <v>24.15</v>
      </c>
    </row>
    <row r="598" spans="1:10" x14ac:dyDescent="0.3">
      <c r="A598" s="7">
        <v>597</v>
      </c>
      <c r="B598" s="8">
        <v>1</v>
      </c>
      <c r="C598" s="8">
        <v>2</v>
      </c>
      <c r="D598" s="8" t="s">
        <v>1099</v>
      </c>
      <c r="E598" s="8" t="s">
        <v>14</v>
      </c>
      <c r="F598" s="8"/>
      <c r="G598" s="8">
        <v>0</v>
      </c>
      <c r="H598" s="8">
        <v>0</v>
      </c>
      <c r="I598" s="8" t="s">
        <v>1100</v>
      </c>
      <c r="J598" s="9">
        <v>33</v>
      </c>
    </row>
    <row r="599" spans="1:10" x14ac:dyDescent="0.3">
      <c r="A599" s="10">
        <v>598</v>
      </c>
      <c r="B599" s="11">
        <v>0</v>
      </c>
      <c r="C599" s="11">
        <v>3</v>
      </c>
      <c r="D599" s="11" t="s">
        <v>1101</v>
      </c>
      <c r="E599" s="11" t="s">
        <v>11</v>
      </c>
      <c r="F599" s="11">
        <v>49</v>
      </c>
      <c r="G599" s="11">
        <v>0</v>
      </c>
      <c r="H599" s="11">
        <v>0</v>
      </c>
      <c r="I599" s="11" t="s">
        <v>355</v>
      </c>
      <c r="J599" s="12">
        <v>0</v>
      </c>
    </row>
    <row r="600" spans="1:10" x14ac:dyDescent="0.3">
      <c r="A600" s="7">
        <v>599</v>
      </c>
      <c r="B600" s="8">
        <v>0</v>
      </c>
      <c r="C600" s="8">
        <v>3</v>
      </c>
      <c r="D600" s="8" t="s">
        <v>1102</v>
      </c>
      <c r="E600" s="8" t="s">
        <v>11</v>
      </c>
      <c r="F600" s="8"/>
      <c r="G600" s="8">
        <v>0</v>
      </c>
      <c r="H600" s="8">
        <v>0</v>
      </c>
      <c r="I600" s="8" t="s">
        <v>1103</v>
      </c>
      <c r="J600" s="9">
        <v>7.2249999999999996</v>
      </c>
    </row>
    <row r="601" spans="1:10" x14ac:dyDescent="0.3">
      <c r="A601" s="10">
        <v>600</v>
      </c>
      <c r="B601" s="11">
        <v>1</v>
      </c>
      <c r="C601" s="11">
        <v>1</v>
      </c>
      <c r="D601" s="11" t="s">
        <v>1104</v>
      </c>
      <c r="E601" s="11" t="s">
        <v>11</v>
      </c>
      <c r="F601" s="11">
        <v>49</v>
      </c>
      <c r="G601" s="11">
        <v>1</v>
      </c>
      <c r="H601" s="11">
        <v>0</v>
      </c>
      <c r="I601" s="11" t="s">
        <v>597</v>
      </c>
      <c r="J601" s="12">
        <v>56.929200000000002</v>
      </c>
    </row>
    <row r="602" spans="1:10" x14ac:dyDescent="0.3">
      <c r="A602" s="7">
        <v>601</v>
      </c>
      <c r="B602" s="8">
        <v>1</v>
      </c>
      <c r="C602" s="8">
        <v>2</v>
      </c>
      <c r="D602" s="8" t="s">
        <v>1105</v>
      </c>
      <c r="E602" s="8" t="s">
        <v>14</v>
      </c>
      <c r="F602" s="8">
        <v>24</v>
      </c>
      <c r="G602" s="8">
        <v>2</v>
      </c>
      <c r="H602" s="8">
        <v>1</v>
      </c>
      <c r="I602" s="8" t="s">
        <v>425</v>
      </c>
      <c r="J602" s="9">
        <v>27</v>
      </c>
    </row>
    <row r="603" spans="1:10" x14ac:dyDescent="0.3">
      <c r="A603" s="10">
        <v>602</v>
      </c>
      <c r="B603" s="11">
        <v>0</v>
      </c>
      <c r="C603" s="11">
        <v>3</v>
      </c>
      <c r="D603" s="11" t="s">
        <v>1106</v>
      </c>
      <c r="E603" s="11" t="s">
        <v>11</v>
      </c>
      <c r="F603" s="11"/>
      <c r="G603" s="11">
        <v>0</v>
      </c>
      <c r="H603" s="11">
        <v>0</v>
      </c>
      <c r="I603" s="11" t="s">
        <v>1107</v>
      </c>
      <c r="J603" s="12">
        <v>7.8958000000000004</v>
      </c>
    </row>
    <row r="604" spans="1:10" x14ac:dyDescent="0.3">
      <c r="A604" s="7">
        <v>603</v>
      </c>
      <c r="B604" s="8">
        <v>0</v>
      </c>
      <c r="C604" s="8">
        <v>1</v>
      </c>
      <c r="D604" s="8" t="s">
        <v>1108</v>
      </c>
      <c r="E604" s="8" t="s">
        <v>11</v>
      </c>
      <c r="F604" s="8"/>
      <c r="G604" s="8">
        <v>0</v>
      </c>
      <c r="H604" s="8">
        <v>0</v>
      </c>
      <c r="I604" s="8" t="s">
        <v>1109</v>
      </c>
      <c r="J604" s="9">
        <v>42.4</v>
      </c>
    </row>
    <row r="605" spans="1:10" x14ac:dyDescent="0.3">
      <c r="A605" s="10">
        <v>604</v>
      </c>
      <c r="B605" s="11">
        <v>0</v>
      </c>
      <c r="C605" s="11">
        <v>3</v>
      </c>
      <c r="D605" s="11" t="s">
        <v>1110</v>
      </c>
      <c r="E605" s="11" t="s">
        <v>11</v>
      </c>
      <c r="F605" s="11">
        <v>44</v>
      </c>
      <c r="G605" s="11">
        <v>0</v>
      </c>
      <c r="H605" s="11">
        <v>0</v>
      </c>
      <c r="I605" s="11" t="s">
        <v>1111</v>
      </c>
      <c r="J605" s="12">
        <v>8.0500000000000007</v>
      </c>
    </row>
    <row r="606" spans="1:10" x14ac:dyDescent="0.3">
      <c r="A606" s="7">
        <v>605</v>
      </c>
      <c r="B606" s="8">
        <v>1</v>
      </c>
      <c r="C606" s="8">
        <v>1</v>
      </c>
      <c r="D606" s="8" t="s">
        <v>1112</v>
      </c>
      <c r="E606" s="8" t="s">
        <v>11</v>
      </c>
      <c r="F606" s="8">
        <v>35</v>
      </c>
      <c r="G606" s="8">
        <v>0</v>
      </c>
      <c r="H606" s="8">
        <v>0</v>
      </c>
      <c r="I606" s="8" t="s">
        <v>1113</v>
      </c>
      <c r="J606" s="9">
        <v>26.55</v>
      </c>
    </row>
    <row r="607" spans="1:10" x14ac:dyDescent="0.3">
      <c r="A607" s="10">
        <v>606</v>
      </c>
      <c r="B607" s="11">
        <v>0</v>
      </c>
      <c r="C607" s="11">
        <v>3</v>
      </c>
      <c r="D607" s="11" t="s">
        <v>1114</v>
      </c>
      <c r="E607" s="11" t="s">
        <v>11</v>
      </c>
      <c r="F607" s="11">
        <v>36</v>
      </c>
      <c r="G607" s="11">
        <v>1</v>
      </c>
      <c r="H607" s="11">
        <v>0</v>
      </c>
      <c r="I607" s="11" t="s">
        <v>1115</v>
      </c>
      <c r="J607" s="12">
        <v>15.55</v>
      </c>
    </row>
    <row r="608" spans="1:10" x14ac:dyDescent="0.3">
      <c r="A608" s="7">
        <v>607</v>
      </c>
      <c r="B608" s="8">
        <v>0</v>
      </c>
      <c r="C608" s="8">
        <v>3</v>
      </c>
      <c r="D608" s="8" t="s">
        <v>1116</v>
      </c>
      <c r="E608" s="8" t="s">
        <v>11</v>
      </c>
      <c r="F608" s="8">
        <v>30</v>
      </c>
      <c r="G608" s="8">
        <v>0</v>
      </c>
      <c r="H608" s="8">
        <v>0</v>
      </c>
      <c r="I608" s="8" t="s">
        <v>1117</v>
      </c>
      <c r="J608" s="9">
        <v>7.8958000000000004</v>
      </c>
    </row>
    <row r="609" spans="1:10" x14ac:dyDescent="0.3">
      <c r="A609" s="10">
        <v>608</v>
      </c>
      <c r="B609" s="11">
        <v>1</v>
      </c>
      <c r="C609" s="11">
        <v>1</v>
      </c>
      <c r="D609" s="11" t="s">
        <v>1118</v>
      </c>
      <c r="E609" s="11" t="s">
        <v>11</v>
      </c>
      <c r="F609" s="11">
        <v>27</v>
      </c>
      <c r="G609" s="11">
        <v>0</v>
      </c>
      <c r="H609" s="11">
        <v>0</v>
      </c>
      <c r="I609" s="11" t="s">
        <v>1119</v>
      </c>
      <c r="J609" s="12">
        <v>30.5</v>
      </c>
    </row>
    <row r="610" spans="1:10" x14ac:dyDescent="0.3">
      <c r="A610" s="7">
        <v>609</v>
      </c>
      <c r="B610" s="8">
        <v>1</v>
      </c>
      <c r="C610" s="8">
        <v>2</v>
      </c>
      <c r="D610" s="8" t="s">
        <v>1120</v>
      </c>
      <c r="E610" s="8" t="s">
        <v>14</v>
      </c>
      <c r="F610" s="8">
        <v>22</v>
      </c>
      <c r="G610" s="8">
        <v>1</v>
      </c>
      <c r="H610" s="8">
        <v>2</v>
      </c>
      <c r="I610" s="8" t="s">
        <v>98</v>
      </c>
      <c r="J610" s="9">
        <v>41.5792</v>
      </c>
    </row>
    <row r="611" spans="1:10" x14ac:dyDescent="0.3">
      <c r="A611" s="10">
        <v>610</v>
      </c>
      <c r="B611" s="11">
        <v>1</v>
      </c>
      <c r="C611" s="11">
        <v>1</v>
      </c>
      <c r="D611" s="11" t="s">
        <v>1121</v>
      </c>
      <c r="E611" s="11" t="s">
        <v>14</v>
      </c>
      <c r="F611" s="11">
        <v>40</v>
      </c>
      <c r="G611" s="11">
        <v>0</v>
      </c>
      <c r="H611" s="11">
        <v>0</v>
      </c>
      <c r="I611" s="11" t="s">
        <v>520</v>
      </c>
      <c r="J611" s="12">
        <v>153.46250000000001</v>
      </c>
    </row>
    <row r="612" spans="1:10" x14ac:dyDescent="0.3">
      <c r="A612" s="7">
        <v>611</v>
      </c>
      <c r="B612" s="8">
        <v>0</v>
      </c>
      <c r="C612" s="8">
        <v>3</v>
      </c>
      <c r="D612" s="8" t="s">
        <v>1122</v>
      </c>
      <c r="E612" s="8" t="s">
        <v>14</v>
      </c>
      <c r="F612" s="8">
        <v>39</v>
      </c>
      <c r="G612" s="8">
        <v>1</v>
      </c>
      <c r="H612" s="8">
        <v>5</v>
      </c>
      <c r="I612" s="8" t="s">
        <v>39</v>
      </c>
      <c r="J612" s="9">
        <v>31.274999999999999</v>
      </c>
    </row>
    <row r="613" spans="1:10" x14ac:dyDescent="0.3">
      <c r="A613" s="10">
        <v>612</v>
      </c>
      <c r="B613" s="11">
        <v>0</v>
      </c>
      <c r="C613" s="11">
        <v>3</v>
      </c>
      <c r="D613" s="11" t="s">
        <v>1123</v>
      </c>
      <c r="E613" s="11" t="s">
        <v>11</v>
      </c>
      <c r="F613" s="11"/>
      <c r="G613" s="11">
        <v>0</v>
      </c>
      <c r="H613" s="11">
        <v>0</v>
      </c>
      <c r="I613" s="11" t="s">
        <v>1124</v>
      </c>
      <c r="J613" s="12">
        <v>7.05</v>
      </c>
    </row>
    <row r="614" spans="1:10" x14ac:dyDescent="0.3">
      <c r="A614" s="7">
        <v>613</v>
      </c>
      <c r="B614" s="8">
        <v>1</v>
      </c>
      <c r="C614" s="8">
        <v>3</v>
      </c>
      <c r="D614" s="8" t="s">
        <v>1125</v>
      </c>
      <c r="E614" s="8" t="s">
        <v>14</v>
      </c>
      <c r="F614" s="8"/>
      <c r="G614" s="8">
        <v>1</v>
      </c>
      <c r="H614" s="8">
        <v>0</v>
      </c>
      <c r="I614" s="8" t="s">
        <v>469</v>
      </c>
      <c r="J614" s="9">
        <v>15.5</v>
      </c>
    </row>
    <row r="615" spans="1:10" x14ac:dyDescent="0.3">
      <c r="A615" s="10">
        <v>614</v>
      </c>
      <c r="B615" s="11">
        <v>0</v>
      </c>
      <c r="C615" s="11">
        <v>3</v>
      </c>
      <c r="D615" s="11" t="s">
        <v>1126</v>
      </c>
      <c r="E615" s="11" t="s">
        <v>11</v>
      </c>
      <c r="F615" s="11"/>
      <c r="G615" s="11">
        <v>0</v>
      </c>
      <c r="H615" s="11">
        <v>0</v>
      </c>
      <c r="I615" s="11" t="s">
        <v>1127</v>
      </c>
      <c r="J615" s="12">
        <v>7.75</v>
      </c>
    </row>
    <row r="616" spans="1:10" x14ac:dyDescent="0.3">
      <c r="A616" s="7">
        <v>615</v>
      </c>
      <c r="B616" s="8">
        <v>0</v>
      </c>
      <c r="C616" s="8">
        <v>3</v>
      </c>
      <c r="D616" s="8" t="s">
        <v>1128</v>
      </c>
      <c r="E616" s="8" t="s">
        <v>11</v>
      </c>
      <c r="F616" s="8">
        <v>35</v>
      </c>
      <c r="G616" s="8">
        <v>0</v>
      </c>
      <c r="H616" s="8">
        <v>0</v>
      </c>
      <c r="I616" s="8" t="s">
        <v>1129</v>
      </c>
      <c r="J616" s="9">
        <v>8.0500000000000007</v>
      </c>
    </row>
    <row r="617" spans="1:10" x14ac:dyDescent="0.3">
      <c r="A617" s="10">
        <v>616</v>
      </c>
      <c r="B617" s="11">
        <v>1</v>
      </c>
      <c r="C617" s="11">
        <v>2</v>
      </c>
      <c r="D617" s="11" t="s">
        <v>1130</v>
      </c>
      <c r="E617" s="11" t="s">
        <v>14</v>
      </c>
      <c r="F617" s="11">
        <v>24</v>
      </c>
      <c r="G617" s="11">
        <v>1</v>
      </c>
      <c r="H617" s="11">
        <v>2</v>
      </c>
      <c r="I617" s="11" t="s">
        <v>1131</v>
      </c>
      <c r="J617" s="12">
        <v>65</v>
      </c>
    </row>
    <row r="618" spans="1:10" x14ac:dyDescent="0.3">
      <c r="A618" s="7">
        <v>617</v>
      </c>
      <c r="B618" s="8">
        <v>0</v>
      </c>
      <c r="C618" s="8">
        <v>3</v>
      </c>
      <c r="D618" s="8" t="s">
        <v>1132</v>
      </c>
      <c r="E618" s="8" t="s">
        <v>11</v>
      </c>
      <c r="F618" s="8">
        <v>34</v>
      </c>
      <c r="G618" s="8">
        <v>1</v>
      </c>
      <c r="H618" s="8">
        <v>1</v>
      </c>
      <c r="I618" s="8" t="s">
        <v>797</v>
      </c>
      <c r="J618" s="9">
        <v>14.4</v>
      </c>
    </row>
    <row r="619" spans="1:10" x14ac:dyDescent="0.3">
      <c r="A619" s="10">
        <v>618</v>
      </c>
      <c r="B619" s="11">
        <v>0</v>
      </c>
      <c r="C619" s="11">
        <v>3</v>
      </c>
      <c r="D619" s="11" t="s">
        <v>1133</v>
      </c>
      <c r="E619" s="11" t="s">
        <v>14</v>
      </c>
      <c r="F619" s="11">
        <v>26</v>
      </c>
      <c r="G619" s="11">
        <v>1</v>
      </c>
      <c r="H619" s="11">
        <v>0</v>
      </c>
      <c r="I619" s="11" t="s">
        <v>492</v>
      </c>
      <c r="J619" s="12">
        <v>16.100000000000001</v>
      </c>
    </row>
    <row r="620" spans="1:10" x14ac:dyDescent="0.3">
      <c r="A620" s="7">
        <v>619</v>
      </c>
      <c r="B620" s="8">
        <v>1</v>
      </c>
      <c r="C620" s="8">
        <v>2</v>
      </c>
      <c r="D620" s="8" t="s">
        <v>1134</v>
      </c>
      <c r="E620" s="8" t="s">
        <v>14</v>
      </c>
      <c r="F620" s="8">
        <v>4</v>
      </c>
      <c r="G620" s="8">
        <v>2</v>
      </c>
      <c r="H620" s="8">
        <v>1</v>
      </c>
      <c r="I620" s="8" t="s">
        <v>361</v>
      </c>
      <c r="J620" s="9">
        <v>39</v>
      </c>
    </row>
    <row r="621" spans="1:10" x14ac:dyDescent="0.3">
      <c r="A621" s="10">
        <v>620</v>
      </c>
      <c r="B621" s="11">
        <v>0</v>
      </c>
      <c r="C621" s="11">
        <v>2</v>
      </c>
      <c r="D621" s="11" t="s">
        <v>1135</v>
      </c>
      <c r="E621" s="11" t="s">
        <v>11</v>
      </c>
      <c r="F621" s="11">
        <v>26</v>
      </c>
      <c r="G621" s="11">
        <v>0</v>
      </c>
      <c r="H621" s="11">
        <v>0</v>
      </c>
      <c r="I621" s="11" t="s">
        <v>1136</v>
      </c>
      <c r="J621" s="12">
        <v>10.5</v>
      </c>
    </row>
    <row r="622" spans="1:10" x14ac:dyDescent="0.3">
      <c r="A622" s="7">
        <v>621</v>
      </c>
      <c r="B622" s="8">
        <v>0</v>
      </c>
      <c r="C622" s="8">
        <v>3</v>
      </c>
      <c r="D622" s="8" t="s">
        <v>1137</v>
      </c>
      <c r="E622" s="8" t="s">
        <v>11</v>
      </c>
      <c r="F622" s="8">
        <v>27</v>
      </c>
      <c r="G622" s="8">
        <v>1</v>
      </c>
      <c r="H622" s="8">
        <v>0</v>
      </c>
      <c r="I622" s="8" t="s">
        <v>1138</v>
      </c>
      <c r="J622" s="9">
        <v>14.4542</v>
      </c>
    </row>
    <row r="623" spans="1:10" x14ac:dyDescent="0.3">
      <c r="A623" s="10">
        <v>622</v>
      </c>
      <c r="B623" s="11">
        <v>1</v>
      </c>
      <c r="C623" s="11">
        <v>1</v>
      </c>
      <c r="D623" s="11" t="s">
        <v>1139</v>
      </c>
      <c r="E623" s="11" t="s">
        <v>11</v>
      </c>
      <c r="F623" s="11">
        <v>42</v>
      </c>
      <c r="G623" s="11">
        <v>1</v>
      </c>
      <c r="H623" s="11">
        <v>0</v>
      </c>
      <c r="I623" s="11" t="s">
        <v>1140</v>
      </c>
      <c r="J623" s="12">
        <v>52.554200000000002</v>
      </c>
    </row>
    <row r="624" spans="1:10" x14ac:dyDescent="0.3">
      <c r="A624" s="7">
        <v>623</v>
      </c>
      <c r="B624" s="8">
        <v>1</v>
      </c>
      <c r="C624" s="8">
        <v>3</v>
      </c>
      <c r="D624" s="8" t="s">
        <v>1141</v>
      </c>
      <c r="E624" s="8" t="s">
        <v>11</v>
      </c>
      <c r="F624" s="8">
        <v>20</v>
      </c>
      <c r="G624" s="8">
        <v>1</v>
      </c>
      <c r="H624" s="8">
        <v>1</v>
      </c>
      <c r="I624" s="8" t="s">
        <v>722</v>
      </c>
      <c r="J624" s="9">
        <v>15.7417</v>
      </c>
    </row>
    <row r="625" spans="1:10" x14ac:dyDescent="0.3">
      <c r="A625" s="10">
        <v>624</v>
      </c>
      <c r="B625" s="11">
        <v>0</v>
      </c>
      <c r="C625" s="11">
        <v>3</v>
      </c>
      <c r="D625" s="11" t="s">
        <v>1142</v>
      </c>
      <c r="E625" s="11" t="s">
        <v>11</v>
      </c>
      <c r="F625" s="11">
        <v>21</v>
      </c>
      <c r="G625" s="11">
        <v>0</v>
      </c>
      <c r="H625" s="11">
        <v>0</v>
      </c>
      <c r="I625" s="11" t="s">
        <v>1143</v>
      </c>
      <c r="J625" s="12">
        <v>7.8541999999999996</v>
      </c>
    </row>
    <row r="626" spans="1:10" x14ac:dyDescent="0.3">
      <c r="A626" s="7">
        <v>625</v>
      </c>
      <c r="B626" s="8">
        <v>0</v>
      </c>
      <c r="C626" s="8">
        <v>3</v>
      </c>
      <c r="D626" s="8" t="s">
        <v>1144</v>
      </c>
      <c r="E626" s="8" t="s">
        <v>11</v>
      </c>
      <c r="F626" s="8">
        <v>21</v>
      </c>
      <c r="G626" s="8">
        <v>0</v>
      </c>
      <c r="H626" s="8">
        <v>0</v>
      </c>
      <c r="I626" s="8" t="s">
        <v>1145</v>
      </c>
      <c r="J626" s="9">
        <v>16.100000000000001</v>
      </c>
    </row>
    <row r="627" spans="1:10" x14ac:dyDescent="0.3">
      <c r="A627" s="10">
        <v>626</v>
      </c>
      <c r="B627" s="11">
        <v>0</v>
      </c>
      <c r="C627" s="11">
        <v>1</v>
      </c>
      <c r="D627" s="11" t="s">
        <v>1146</v>
      </c>
      <c r="E627" s="11" t="s">
        <v>11</v>
      </c>
      <c r="F627" s="11">
        <v>61</v>
      </c>
      <c r="G627" s="11">
        <v>0</v>
      </c>
      <c r="H627" s="11">
        <v>0</v>
      </c>
      <c r="I627" s="11" t="s">
        <v>1147</v>
      </c>
      <c r="J627" s="12">
        <v>32.320799999999998</v>
      </c>
    </row>
    <row r="628" spans="1:10" x14ac:dyDescent="0.3">
      <c r="A628" s="7">
        <v>627</v>
      </c>
      <c r="B628" s="8">
        <v>0</v>
      </c>
      <c r="C628" s="8">
        <v>2</v>
      </c>
      <c r="D628" s="8" t="s">
        <v>1148</v>
      </c>
      <c r="E628" s="8" t="s">
        <v>11</v>
      </c>
      <c r="F628" s="8">
        <v>57</v>
      </c>
      <c r="G628" s="8">
        <v>0</v>
      </c>
      <c r="H628" s="8">
        <v>0</v>
      </c>
      <c r="I628" s="8" t="s">
        <v>1149</v>
      </c>
      <c r="J628" s="9">
        <v>12.35</v>
      </c>
    </row>
    <row r="629" spans="1:10" x14ac:dyDescent="0.3">
      <c r="A629" s="10">
        <v>628</v>
      </c>
      <c r="B629" s="11">
        <v>1</v>
      </c>
      <c r="C629" s="11">
        <v>1</v>
      </c>
      <c r="D629" s="11" t="s">
        <v>1150</v>
      </c>
      <c r="E629" s="11" t="s">
        <v>14</v>
      </c>
      <c r="F629" s="11">
        <v>21</v>
      </c>
      <c r="G629" s="11">
        <v>0</v>
      </c>
      <c r="H629" s="11">
        <v>0</v>
      </c>
      <c r="I629" s="11" t="s">
        <v>533</v>
      </c>
      <c r="J629" s="12">
        <v>77.958299999999994</v>
      </c>
    </row>
    <row r="630" spans="1:10" x14ac:dyDescent="0.3">
      <c r="A630" s="7">
        <v>629</v>
      </c>
      <c r="B630" s="8">
        <v>0</v>
      </c>
      <c r="C630" s="8">
        <v>3</v>
      </c>
      <c r="D630" s="8" t="s">
        <v>1151</v>
      </c>
      <c r="E630" s="8" t="s">
        <v>11</v>
      </c>
      <c r="F630" s="8">
        <v>26</v>
      </c>
      <c r="G630" s="8">
        <v>0</v>
      </c>
      <c r="H630" s="8">
        <v>0</v>
      </c>
      <c r="I630" s="8" t="s">
        <v>1152</v>
      </c>
      <c r="J630" s="9">
        <v>7.8958000000000004</v>
      </c>
    </row>
    <row r="631" spans="1:10" x14ac:dyDescent="0.3">
      <c r="A631" s="10">
        <v>630</v>
      </c>
      <c r="B631" s="11">
        <v>0</v>
      </c>
      <c r="C631" s="11">
        <v>3</v>
      </c>
      <c r="D631" s="11" t="s">
        <v>1153</v>
      </c>
      <c r="E631" s="11" t="s">
        <v>11</v>
      </c>
      <c r="F631" s="11"/>
      <c r="G631" s="11">
        <v>0</v>
      </c>
      <c r="H631" s="11">
        <v>0</v>
      </c>
      <c r="I631" s="11" t="s">
        <v>1154</v>
      </c>
      <c r="J631" s="12">
        <v>7.7332999999999998</v>
      </c>
    </row>
    <row r="632" spans="1:10" x14ac:dyDescent="0.3">
      <c r="A632" s="7">
        <v>631</v>
      </c>
      <c r="B632" s="8">
        <v>1</v>
      </c>
      <c r="C632" s="8">
        <v>1</v>
      </c>
      <c r="D632" s="8" t="s">
        <v>1155</v>
      </c>
      <c r="E632" s="8" t="s">
        <v>11</v>
      </c>
      <c r="F632" s="8">
        <v>80</v>
      </c>
      <c r="G632" s="8">
        <v>0</v>
      </c>
      <c r="H632" s="8">
        <v>0</v>
      </c>
      <c r="I632" s="8" t="s">
        <v>1156</v>
      </c>
      <c r="J632" s="9">
        <v>30</v>
      </c>
    </row>
    <row r="633" spans="1:10" x14ac:dyDescent="0.3">
      <c r="A633" s="10">
        <v>632</v>
      </c>
      <c r="B633" s="11">
        <v>0</v>
      </c>
      <c r="C633" s="11">
        <v>3</v>
      </c>
      <c r="D633" s="11" t="s">
        <v>1157</v>
      </c>
      <c r="E633" s="11" t="s">
        <v>11</v>
      </c>
      <c r="F633" s="11">
        <v>51</v>
      </c>
      <c r="G633" s="11">
        <v>0</v>
      </c>
      <c r="H633" s="11">
        <v>0</v>
      </c>
      <c r="I633" s="11" t="s">
        <v>1158</v>
      </c>
      <c r="J633" s="12">
        <v>7.0541999999999998</v>
      </c>
    </row>
    <row r="634" spans="1:10" x14ac:dyDescent="0.3">
      <c r="A634" s="7">
        <v>633</v>
      </c>
      <c r="B634" s="8">
        <v>1</v>
      </c>
      <c r="C634" s="8">
        <v>1</v>
      </c>
      <c r="D634" s="8" t="s">
        <v>1159</v>
      </c>
      <c r="E634" s="8" t="s">
        <v>11</v>
      </c>
      <c r="F634" s="8">
        <v>32</v>
      </c>
      <c r="G634" s="8">
        <v>0</v>
      </c>
      <c r="H634" s="8">
        <v>0</v>
      </c>
      <c r="I634" s="8" t="s">
        <v>1160</v>
      </c>
      <c r="J634" s="9">
        <v>30.5</v>
      </c>
    </row>
    <row r="635" spans="1:10" x14ac:dyDescent="0.3">
      <c r="A635" s="10">
        <v>634</v>
      </c>
      <c r="B635" s="11">
        <v>0</v>
      </c>
      <c r="C635" s="11">
        <v>1</v>
      </c>
      <c r="D635" s="11" t="s">
        <v>1161</v>
      </c>
      <c r="E635" s="11" t="s">
        <v>11</v>
      </c>
      <c r="F635" s="11"/>
      <c r="G635" s="11">
        <v>0</v>
      </c>
      <c r="H635" s="11">
        <v>0</v>
      </c>
      <c r="I635" s="11" t="s">
        <v>1162</v>
      </c>
      <c r="J635" s="12">
        <v>0</v>
      </c>
    </row>
    <row r="636" spans="1:10" x14ac:dyDescent="0.3">
      <c r="A636" s="7">
        <v>635</v>
      </c>
      <c r="B636" s="8">
        <v>0</v>
      </c>
      <c r="C636" s="8">
        <v>3</v>
      </c>
      <c r="D636" s="8" t="s">
        <v>1163</v>
      </c>
      <c r="E636" s="8" t="s">
        <v>14</v>
      </c>
      <c r="F636" s="8">
        <v>9</v>
      </c>
      <c r="G636" s="8">
        <v>3</v>
      </c>
      <c r="H636" s="8">
        <v>2</v>
      </c>
      <c r="I636" s="8" t="s">
        <v>138</v>
      </c>
      <c r="J636" s="9">
        <v>27.9</v>
      </c>
    </row>
    <row r="637" spans="1:10" x14ac:dyDescent="0.3">
      <c r="A637" s="10">
        <v>636</v>
      </c>
      <c r="B637" s="11">
        <v>1</v>
      </c>
      <c r="C637" s="11">
        <v>2</v>
      </c>
      <c r="D637" s="11" t="s">
        <v>1164</v>
      </c>
      <c r="E637" s="11" t="s">
        <v>14</v>
      </c>
      <c r="F637" s="11">
        <v>28</v>
      </c>
      <c r="G637" s="11">
        <v>0</v>
      </c>
      <c r="H637" s="11">
        <v>0</v>
      </c>
      <c r="I637" s="11" t="s">
        <v>1165</v>
      </c>
      <c r="J637" s="12">
        <v>13</v>
      </c>
    </row>
    <row r="638" spans="1:10" x14ac:dyDescent="0.3">
      <c r="A638" s="7">
        <v>637</v>
      </c>
      <c r="B638" s="8">
        <v>0</v>
      </c>
      <c r="C638" s="8">
        <v>3</v>
      </c>
      <c r="D638" s="8" t="s">
        <v>1166</v>
      </c>
      <c r="E638" s="8" t="s">
        <v>11</v>
      </c>
      <c r="F638" s="8">
        <v>32</v>
      </c>
      <c r="G638" s="8">
        <v>0</v>
      </c>
      <c r="H638" s="8">
        <v>0</v>
      </c>
      <c r="I638" s="8" t="s">
        <v>1167</v>
      </c>
      <c r="J638" s="9">
        <v>7.9249999999999998</v>
      </c>
    </row>
    <row r="639" spans="1:10" x14ac:dyDescent="0.3">
      <c r="A639" s="10">
        <v>638</v>
      </c>
      <c r="B639" s="11">
        <v>0</v>
      </c>
      <c r="C639" s="11">
        <v>2</v>
      </c>
      <c r="D639" s="11" t="s">
        <v>1168</v>
      </c>
      <c r="E639" s="11" t="s">
        <v>11</v>
      </c>
      <c r="F639" s="11">
        <v>31</v>
      </c>
      <c r="G639" s="11">
        <v>1</v>
      </c>
      <c r="H639" s="11">
        <v>1</v>
      </c>
      <c r="I639" s="11" t="s">
        <v>462</v>
      </c>
      <c r="J639" s="12">
        <v>26.25</v>
      </c>
    </row>
    <row r="640" spans="1:10" x14ac:dyDescent="0.3">
      <c r="A640" s="7">
        <v>639</v>
      </c>
      <c r="B640" s="8">
        <v>0</v>
      </c>
      <c r="C640" s="8">
        <v>3</v>
      </c>
      <c r="D640" s="8" t="s">
        <v>1169</v>
      </c>
      <c r="E640" s="8" t="s">
        <v>14</v>
      </c>
      <c r="F640" s="8">
        <v>41</v>
      </c>
      <c r="G640" s="8">
        <v>0</v>
      </c>
      <c r="H640" s="8">
        <v>5</v>
      </c>
      <c r="I640" s="8" t="s">
        <v>112</v>
      </c>
      <c r="J640" s="9">
        <v>39.6875</v>
      </c>
    </row>
    <row r="641" spans="1:10" x14ac:dyDescent="0.3">
      <c r="A641" s="10">
        <v>640</v>
      </c>
      <c r="B641" s="11">
        <v>0</v>
      </c>
      <c r="C641" s="11">
        <v>3</v>
      </c>
      <c r="D641" s="11" t="s">
        <v>1170</v>
      </c>
      <c r="E641" s="11" t="s">
        <v>11</v>
      </c>
      <c r="F641" s="11"/>
      <c r="G641" s="11">
        <v>1</v>
      </c>
      <c r="H641" s="11">
        <v>0</v>
      </c>
      <c r="I641" s="11" t="s">
        <v>812</v>
      </c>
      <c r="J641" s="12">
        <v>16.100000000000001</v>
      </c>
    </row>
    <row r="642" spans="1:10" x14ac:dyDescent="0.3">
      <c r="A642" s="7">
        <v>641</v>
      </c>
      <c r="B642" s="8">
        <v>0</v>
      </c>
      <c r="C642" s="8">
        <v>3</v>
      </c>
      <c r="D642" s="8" t="s">
        <v>1171</v>
      </c>
      <c r="E642" s="8" t="s">
        <v>11</v>
      </c>
      <c r="F642" s="8">
        <v>20</v>
      </c>
      <c r="G642" s="8">
        <v>0</v>
      </c>
      <c r="H642" s="8">
        <v>0</v>
      </c>
      <c r="I642" s="8" t="s">
        <v>1172</v>
      </c>
      <c r="J642" s="9">
        <v>7.8541999999999996</v>
      </c>
    </row>
    <row r="643" spans="1:10" x14ac:dyDescent="0.3">
      <c r="A643" s="10">
        <v>642</v>
      </c>
      <c r="B643" s="11">
        <v>1</v>
      </c>
      <c r="C643" s="11">
        <v>1</v>
      </c>
      <c r="D643" s="11" t="s">
        <v>1173</v>
      </c>
      <c r="E643" s="11" t="s">
        <v>14</v>
      </c>
      <c r="F643" s="11">
        <v>24</v>
      </c>
      <c r="G643" s="11">
        <v>0</v>
      </c>
      <c r="H643" s="11">
        <v>0</v>
      </c>
      <c r="I643" s="11" t="s">
        <v>701</v>
      </c>
      <c r="J643" s="12">
        <v>69.3</v>
      </c>
    </row>
    <row r="644" spans="1:10" x14ac:dyDescent="0.3">
      <c r="A644" s="7">
        <v>643</v>
      </c>
      <c r="B644" s="8">
        <v>0</v>
      </c>
      <c r="C644" s="8">
        <v>3</v>
      </c>
      <c r="D644" s="8" t="s">
        <v>1174</v>
      </c>
      <c r="E644" s="8" t="s">
        <v>14</v>
      </c>
      <c r="F644" s="8">
        <v>2</v>
      </c>
      <c r="G644" s="8">
        <v>3</v>
      </c>
      <c r="H644" s="8">
        <v>2</v>
      </c>
      <c r="I644" s="8" t="s">
        <v>138</v>
      </c>
      <c r="J644" s="9">
        <v>27.9</v>
      </c>
    </row>
    <row r="645" spans="1:10" x14ac:dyDescent="0.3">
      <c r="A645" s="10">
        <v>644</v>
      </c>
      <c r="B645" s="11">
        <v>1</v>
      </c>
      <c r="C645" s="11">
        <v>3</v>
      </c>
      <c r="D645" s="11" t="s">
        <v>1175</v>
      </c>
      <c r="E645" s="11" t="s">
        <v>11</v>
      </c>
      <c r="F645" s="11"/>
      <c r="G645" s="11">
        <v>0</v>
      </c>
      <c r="H645" s="11">
        <v>0</v>
      </c>
      <c r="I645" s="11" t="s">
        <v>159</v>
      </c>
      <c r="J645" s="12">
        <v>56.495800000000003</v>
      </c>
    </row>
    <row r="646" spans="1:10" x14ac:dyDescent="0.3">
      <c r="A646" s="7">
        <v>645</v>
      </c>
      <c r="B646" s="8">
        <v>1</v>
      </c>
      <c r="C646" s="8">
        <v>3</v>
      </c>
      <c r="D646" s="8" t="s">
        <v>1176</v>
      </c>
      <c r="E646" s="8" t="s">
        <v>14</v>
      </c>
      <c r="F646" s="8">
        <v>0.75</v>
      </c>
      <c r="G646" s="8">
        <v>2</v>
      </c>
      <c r="H646" s="8">
        <v>1</v>
      </c>
      <c r="I646" s="8" t="s">
        <v>840</v>
      </c>
      <c r="J646" s="9">
        <v>19.258299999999998</v>
      </c>
    </row>
    <row r="647" spans="1:10" x14ac:dyDescent="0.3">
      <c r="A647" s="10">
        <v>646</v>
      </c>
      <c r="B647" s="11">
        <v>1</v>
      </c>
      <c r="C647" s="11">
        <v>1</v>
      </c>
      <c r="D647" s="11" t="s">
        <v>1177</v>
      </c>
      <c r="E647" s="11" t="s">
        <v>11</v>
      </c>
      <c r="F647" s="11">
        <v>48</v>
      </c>
      <c r="G647" s="11">
        <v>1</v>
      </c>
      <c r="H647" s="11">
        <v>0</v>
      </c>
      <c r="I647" s="11" t="s">
        <v>116</v>
      </c>
      <c r="J647" s="12">
        <v>76.729200000000006</v>
      </c>
    </row>
    <row r="648" spans="1:10" x14ac:dyDescent="0.3">
      <c r="A648" s="7">
        <v>647</v>
      </c>
      <c r="B648" s="8">
        <v>0</v>
      </c>
      <c r="C648" s="8">
        <v>3</v>
      </c>
      <c r="D648" s="8" t="s">
        <v>1178</v>
      </c>
      <c r="E648" s="8" t="s">
        <v>11</v>
      </c>
      <c r="F648" s="8">
        <v>19</v>
      </c>
      <c r="G648" s="8">
        <v>0</v>
      </c>
      <c r="H648" s="8">
        <v>0</v>
      </c>
      <c r="I648" s="8" t="s">
        <v>1179</v>
      </c>
      <c r="J648" s="9">
        <v>7.8958000000000004</v>
      </c>
    </row>
    <row r="649" spans="1:10" x14ac:dyDescent="0.3">
      <c r="A649" s="10">
        <v>648</v>
      </c>
      <c r="B649" s="11">
        <v>1</v>
      </c>
      <c r="C649" s="11">
        <v>1</v>
      </c>
      <c r="D649" s="11" t="s">
        <v>1180</v>
      </c>
      <c r="E649" s="11" t="s">
        <v>11</v>
      </c>
      <c r="F649" s="11">
        <v>56</v>
      </c>
      <c r="G649" s="11">
        <v>0</v>
      </c>
      <c r="H649" s="11">
        <v>0</v>
      </c>
      <c r="I649" s="11" t="s">
        <v>1181</v>
      </c>
      <c r="J649" s="12">
        <v>35.5</v>
      </c>
    </row>
    <row r="650" spans="1:10" x14ac:dyDescent="0.3">
      <c r="A650" s="7">
        <v>649</v>
      </c>
      <c r="B650" s="8">
        <v>0</v>
      </c>
      <c r="C650" s="8">
        <v>3</v>
      </c>
      <c r="D650" s="8" t="s">
        <v>1182</v>
      </c>
      <c r="E650" s="8" t="s">
        <v>11</v>
      </c>
      <c r="F650" s="8"/>
      <c r="G650" s="8">
        <v>0</v>
      </c>
      <c r="H650" s="8">
        <v>0</v>
      </c>
      <c r="I650" s="8" t="s">
        <v>1183</v>
      </c>
      <c r="J650" s="9">
        <v>7.55</v>
      </c>
    </row>
    <row r="651" spans="1:10" x14ac:dyDescent="0.3">
      <c r="A651" s="10">
        <v>650</v>
      </c>
      <c r="B651" s="11">
        <v>1</v>
      </c>
      <c r="C651" s="11">
        <v>3</v>
      </c>
      <c r="D651" s="11" t="s">
        <v>1184</v>
      </c>
      <c r="E651" s="11" t="s">
        <v>14</v>
      </c>
      <c r="F651" s="11">
        <v>23</v>
      </c>
      <c r="G651" s="11">
        <v>0</v>
      </c>
      <c r="H651" s="11">
        <v>0</v>
      </c>
      <c r="I651" s="11" t="s">
        <v>1185</v>
      </c>
      <c r="J651" s="12">
        <v>7.55</v>
      </c>
    </row>
    <row r="652" spans="1:10" x14ac:dyDescent="0.3">
      <c r="A652" s="7">
        <v>651</v>
      </c>
      <c r="B652" s="8">
        <v>0</v>
      </c>
      <c r="C652" s="8">
        <v>3</v>
      </c>
      <c r="D652" s="8" t="s">
        <v>1186</v>
      </c>
      <c r="E652" s="8" t="s">
        <v>11</v>
      </c>
      <c r="F652" s="8"/>
      <c r="G652" s="8">
        <v>0</v>
      </c>
      <c r="H652" s="8">
        <v>0</v>
      </c>
      <c r="I652" s="8" t="s">
        <v>1187</v>
      </c>
      <c r="J652" s="9">
        <v>7.8958000000000004</v>
      </c>
    </row>
    <row r="653" spans="1:10" x14ac:dyDescent="0.3">
      <c r="A653" s="10">
        <v>652</v>
      </c>
      <c r="B653" s="11">
        <v>1</v>
      </c>
      <c r="C653" s="11">
        <v>2</v>
      </c>
      <c r="D653" s="11" t="s">
        <v>1188</v>
      </c>
      <c r="E653" s="11" t="s">
        <v>14</v>
      </c>
      <c r="F653" s="11">
        <v>18</v>
      </c>
      <c r="G653" s="11">
        <v>0</v>
      </c>
      <c r="H653" s="11">
        <v>1</v>
      </c>
      <c r="I653" s="11" t="s">
        <v>206</v>
      </c>
      <c r="J653" s="12">
        <v>23</v>
      </c>
    </row>
    <row r="654" spans="1:10" x14ac:dyDescent="0.3">
      <c r="A654" s="7">
        <v>653</v>
      </c>
      <c r="B654" s="8">
        <v>0</v>
      </c>
      <c r="C654" s="8">
        <v>3</v>
      </c>
      <c r="D654" s="8" t="s">
        <v>1189</v>
      </c>
      <c r="E654" s="8" t="s">
        <v>11</v>
      </c>
      <c r="F654" s="8">
        <v>21</v>
      </c>
      <c r="G654" s="8">
        <v>0</v>
      </c>
      <c r="H654" s="8">
        <v>0</v>
      </c>
      <c r="I654" s="8" t="s">
        <v>1190</v>
      </c>
      <c r="J654" s="9">
        <v>8.4332999999999991</v>
      </c>
    </row>
    <row r="655" spans="1:10" x14ac:dyDescent="0.3">
      <c r="A655" s="10">
        <v>654</v>
      </c>
      <c r="B655" s="11">
        <v>1</v>
      </c>
      <c r="C655" s="11">
        <v>3</v>
      </c>
      <c r="D655" s="11" t="s">
        <v>1191</v>
      </c>
      <c r="E655" s="11" t="s">
        <v>14</v>
      </c>
      <c r="F655" s="11"/>
      <c r="G655" s="11">
        <v>0</v>
      </c>
      <c r="H655" s="11">
        <v>0</v>
      </c>
      <c r="I655" s="11" t="s">
        <v>1192</v>
      </c>
      <c r="J655" s="12">
        <v>7.8292000000000002</v>
      </c>
    </row>
    <row r="656" spans="1:10" x14ac:dyDescent="0.3">
      <c r="A656" s="7">
        <v>655</v>
      </c>
      <c r="B656" s="8">
        <v>0</v>
      </c>
      <c r="C656" s="8">
        <v>3</v>
      </c>
      <c r="D656" s="8" t="s">
        <v>1193</v>
      </c>
      <c r="E656" s="8" t="s">
        <v>14</v>
      </c>
      <c r="F656" s="8">
        <v>18</v>
      </c>
      <c r="G656" s="8">
        <v>0</v>
      </c>
      <c r="H656" s="8">
        <v>0</v>
      </c>
      <c r="I656" s="8" t="s">
        <v>1194</v>
      </c>
      <c r="J656" s="9">
        <v>6.75</v>
      </c>
    </row>
    <row r="657" spans="1:10" x14ac:dyDescent="0.3">
      <c r="A657" s="10">
        <v>656</v>
      </c>
      <c r="B657" s="11">
        <v>0</v>
      </c>
      <c r="C657" s="11">
        <v>2</v>
      </c>
      <c r="D657" s="11" t="s">
        <v>1195</v>
      </c>
      <c r="E657" s="11" t="s">
        <v>11</v>
      </c>
      <c r="F657" s="11">
        <v>24</v>
      </c>
      <c r="G657" s="11">
        <v>2</v>
      </c>
      <c r="H657" s="11">
        <v>0</v>
      </c>
      <c r="I657" s="11" t="s">
        <v>155</v>
      </c>
      <c r="J657" s="12">
        <v>73.5</v>
      </c>
    </row>
    <row r="658" spans="1:10" x14ac:dyDescent="0.3">
      <c r="A658" s="7">
        <v>657</v>
      </c>
      <c r="B658" s="8">
        <v>0</v>
      </c>
      <c r="C658" s="8">
        <v>3</v>
      </c>
      <c r="D658" s="8" t="s">
        <v>1196</v>
      </c>
      <c r="E658" s="8" t="s">
        <v>11</v>
      </c>
      <c r="F658" s="8"/>
      <c r="G658" s="8">
        <v>0</v>
      </c>
      <c r="H658" s="8">
        <v>0</v>
      </c>
      <c r="I658" s="8" t="s">
        <v>1197</v>
      </c>
      <c r="J658" s="9">
        <v>7.8958000000000004</v>
      </c>
    </row>
    <row r="659" spans="1:10" x14ac:dyDescent="0.3">
      <c r="A659" s="10">
        <v>658</v>
      </c>
      <c r="B659" s="11">
        <v>0</v>
      </c>
      <c r="C659" s="11">
        <v>3</v>
      </c>
      <c r="D659" s="11" t="s">
        <v>1198</v>
      </c>
      <c r="E659" s="11" t="s">
        <v>14</v>
      </c>
      <c r="F659" s="11">
        <v>32</v>
      </c>
      <c r="G659" s="11">
        <v>1</v>
      </c>
      <c r="H659" s="11">
        <v>1</v>
      </c>
      <c r="I659" s="11" t="s">
        <v>371</v>
      </c>
      <c r="J659" s="12">
        <v>15.5</v>
      </c>
    </row>
    <row r="660" spans="1:10" x14ac:dyDescent="0.3">
      <c r="A660" s="7">
        <v>659</v>
      </c>
      <c r="B660" s="8">
        <v>0</v>
      </c>
      <c r="C660" s="8">
        <v>2</v>
      </c>
      <c r="D660" s="8" t="s">
        <v>1199</v>
      </c>
      <c r="E660" s="8" t="s">
        <v>11</v>
      </c>
      <c r="F660" s="8">
        <v>23</v>
      </c>
      <c r="G660" s="8">
        <v>0</v>
      </c>
      <c r="H660" s="8">
        <v>0</v>
      </c>
      <c r="I660" s="8" t="s">
        <v>1200</v>
      </c>
      <c r="J660" s="9">
        <v>13</v>
      </c>
    </row>
    <row r="661" spans="1:10" x14ac:dyDescent="0.3">
      <c r="A661" s="10">
        <v>660</v>
      </c>
      <c r="B661" s="11">
        <v>0</v>
      </c>
      <c r="C661" s="11">
        <v>1</v>
      </c>
      <c r="D661" s="11" t="s">
        <v>1201</v>
      </c>
      <c r="E661" s="11" t="s">
        <v>11</v>
      </c>
      <c r="F661" s="11">
        <v>58</v>
      </c>
      <c r="G661" s="11">
        <v>0</v>
      </c>
      <c r="H661" s="11">
        <v>2</v>
      </c>
      <c r="I661" s="11" t="s">
        <v>421</v>
      </c>
      <c r="J661" s="12">
        <v>113.27500000000001</v>
      </c>
    </row>
    <row r="662" spans="1:10" x14ac:dyDescent="0.3">
      <c r="A662" s="7">
        <v>661</v>
      </c>
      <c r="B662" s="8">
        <v>1</v>
      </c>
      <c r="C662" s="8">
        <v>1</v>
      </c>
      <c r="D662" s="8" t="s">
        <v>1202</v>
      </c>
      <c r="E662" s="8" t="s">
        <v>11</v>
      </c>
      <c r="F662" s="8">
        <v>50</v>
      </c>
      <c r="G662" s="8">
        <v>2</v>
      </c>
      <c r="H662" s="8">
        <v>0</v>
      </c>
      <c r="I662" s="8" t="s">
        <v>639</v>
      </c>
      <c r="J662" s="9">
        <v>133.65</v>
      </c>
    </row>
    <row r="663" spans="1:10" x14ac:dyDescent="0.3">
      <c r="A663" s="10">
        <v>662</v>
      </c>
      <c r="B663" s="11">
        <v>0</v>
      </c>
      <c r="C663" s="11">
        <v>3</v>
      </c>
      <c r="D663" s="11" t="s">
        <v>1203</v>
      </c>
      <c r="E663" s="11" t="s">
        <v>11</v>
      </c>
      <c r="F663" s="11">
        <v>40</v>
      </c>
      <c r="G663" s="11">
        <v>0</v>
      </c>
      <c r="H663" s="11">
        <v>0</v>
      </c>
      <c r="I663" s="11" t="s">
        <v>1204</v>
      </c>
      <c r="J663" s="12">
        <v>7.2249999999999996</v>
      </c>
    </row>
    <row r="664" spans="1:10" x14ac:dyDescent="0.3">
      <c r="A664" s="7">
        <v>663</v>
      </c>
      <c r="B664" s="8">
        <v>0</v>
      </c>
      <c r="C664" s="8">
        <v>1</v>
      </c>
      <c r="D664" s="8" t="s">
        <v>1205</v>
      </c>
      <c r="E664" s="8" t="s">
        <v>11</v>
      </c>
      <c r="F664" s="8">
        <v>47</v>
      </c>
      <c r="G664" s="8">
        <v>0</v>
      </c>
      <c r="H664" s="8">
        <v>0</v>
      </c>
      <c r="I664" s="8" t="s">
        <v>1206</v>
      </c>
      <c r="J664" s="9">
        <v>25.587499999999999</v>
      </c>
    </row>
    <row r="665" spans="1:10" x14ac:dyDescent="0.3">
      <c r="A665" s="10">
        <v>664</v>
      </c>
      <c r="B665" s="11">
        <v>0</v>
      </c>
      <c r="C665" s="11">
        <v>3</v>
      </c>
      <c r="D665" s="11" t="s">
        <v>1207</v>
      </c>
      <c r="E665" s="11" t="s">
        <v>11</v>
      </c>
      <c r="F665" s="11">
        <v>36</v>
      </c>
      <c r="G665" s="11">
        <v>0</v>
      </c>
      <c r="H665" s="11">
        <v>0</v>
      </c>
      <c r="I665" s="11" t="s">
        <v>1208</v>
      </c>
      <c r="J665" s="12">
        <v>7.4958</v>
      </c>
    </row>
    <row r="666" spans="1:10" x14ac:dyDescent="0.3">
      <c r="A666" s="7">
        <v>665</v>
      </c>
      <c r="B666" s="8">
        <v>1</v>
      </c>
      <c r="C666" s="8">
        <v>3</v>
      </c>
      <c r="D666" s="8" t="s">
        <v>1209</v>
      </c>
      <c r="E666" s="8" t="s">
        <v>11</v>
      </c>
      <c r="F666" s="8">
        <v>20</v>
      </c>
      <c r="G666" s="8">
        <v>1</v>
      </c>
      <c r="H666" s="8">
        <v>0</v>
      </c>
      <c r="I666" s="8" t="s">
        <v>1210</v>
      </c>
      <c r="J666" s="9">
        <v>7.9249999999999998</v>
      </c>
    </row>
    <row r="667" spans="1:10" x14ac:dyDescent="0.3">
      <c r="A667" s="10">
        <v>666</v>
      </c>
      <c r="B667" s="11">
        <v>0</v>
      </c>
      <c r="C667" s="11">
        <v>2</v>
      </c>
      <c r="D667" s="11" t="s">
        <v>1211</v>
      </c>
      <c r="E667" s="11" t="s">
        <v>11</v>
      </c>
      <c r="F667" s="11">
        <v>32</v>
      </c>
      <c r="G667" s="11">
        <v>2</v>
      </c>
      <c r="H667" s="11">
        <v>0</v>
      </c>
      <c r="I667" s="11" t="s">
        <v>155</v>
      </c>
      <c r="J667" s="12">
        <v>73.5</v>
      </c>
    </row>
    <row r="668" spans="1:10" x14ac:dyDescent="0.3">
      <c r="A668" s="7">
        <v>667</v>
      </c>
      <c r="B668" s="8">
        <v>0</v>
      </c>
      <c r="C668" s="8">
        <v>2</v>
      </c>
      <c r="D668" s="8" t="s">
        <v>1212</v>
      </c>
      <c r="E668" s="8" t="s">
        <v>11</v>
      </c>
      <c r="F668" s="8">
        <v>25</v>
      </c>
      <c r="G668" s="8">
        <v>0</v>
      </c>
      <c r="H668" s="8">
        <v>0</v>
      </c>
      <c r="I668" s="8" t="s">
        <v>1213</v>
      </c>
      <c r="J668" s="9">
        <v>13</v>
      </c>
    </row>
    <row r="669" spans="1:10" x14ac:dyDescent="0.3">
      <c r="A669" s="10">
        <v>668</v>
      </c>
      <c r="B669" s="11">
        <v>0</v>
      </c>
      <c r="C669" s="11">
        <v>3</v>
      </c>
      <c r="D669" s="11" t="s">
        <v>1214</v>
      </c>
      <c r="E669" s="11" t="s">
        <v>11</v>
      </c>
      <c r="F669" s="11"/>
      <c r="G669" s="11">
        <v>0</v>
      </c>
      <c r="H669" s="11">
        <v>0</v>
      </c>
      <c r="I669" s="11" t="s">
        <v>1215</v>
      </c>
      <c r="J669" s="12">
        <v>7.7750000000000004</v>
      </c>
    </row>
    <row r="670" spans="1:10" x14ac:dyDescent="0.3">
      <c r="A670" s="7">
        <v>669</v>
      </c>
      <c r="B670" s="8">
        <v>0</v>
      </c>
      <c r="C670" s="8">
        <v>3</v>
      </c>
      <c r="D670" s="8" t="s">
        <v>1216</v>
      </c>
      <c r="E670" s="8" t="s">
        <v>11</v>
      </c>
      <c r="F670" s="8">
        <v>43</v>
      </c>
      <c r="G670" s="8">
        <v>0</v>
      </c>
      <c r="H670" s="8">
        <v>0</v>
      </c>
      <c r="I670" s="8" t="s">
        <v>1217</v>
      </c>
      <c r="J670" s="9">
        <v>8.0500000000000007</v>
      </c>
    </row>
    <row r="671" spans="1:10" x14ac:dyDescent="0.3">
      <c r="A671" s="10">
        <v>670</v>
      </c>
      <c r="B671" s="11">
        <v>1</v>
      </c>
      <c r="C671" s="11">
        <v>1</v>
      </c>
      <c r="D671" s="11" t="s">
        <v>1218</v>
      </c>
      <c r="E671" s="11" t="s">
        <v>14</v>
      </c>
      <c r="F671" s="11"/>
      <c r="G671" s="11">
        <v>1</v>
      </c>
      <c r="H671" s="11">
        <v>0</v>
      </c>
      <c r="I671" s="11" t="s">
        <v>1219</v>
      </c>
      <c r="J671" s="12">
        <v>52</v>
      </c>
    </row>
    <row r="672" spans="1:10" x14ac:dyDescent="0.3">
      <c r="A672" s="7">
        <v>671</v>
      </c>
      <c r="B672" s="8">
        <v>1</v>
      </c>
      <c r="C672" s="8">
        <v>2</v>
      </c>
      <c r="D672" s="8" t="s">
        <v>1220</v>
      </c>
      <c r="E672" s="8" t="s">
        <v>14</v>
      </c>
      <c r="F672" s="8">
        <v>40</v>
      </c>
      <c r="G672" s="8">
        <v>1</v>
      </c>
      <c r="H672" s="8">
        <v>1</v>
      </c>
      <c r="I672" s="8" t="s">
        <v>1221</v>
      </c>
      <c r="J672" s="9">
        <v>39</v>
      </c>
    </row>
    <row r="673" spans="1:10" x14ac:dyDescent="0.3">
      <c r="A673" s="10">
        <v>672</v>
      </c>
      <c r="B673" s="11">
        <v>0</v>
      </c>
      <c r="C673" s="11">
        <v>1</v>
      </c>
      <c r="D673" s="11" t="s">
        <v>1222</v>
      </c>
      <c r="E673" s="11" t="s">
        <v>11</v>
      </c>
      <c r="F673" s="11">
        <v>31</v>
      </c>
      <c r="G673" s="11">
        <v>1</v>
      </c>
      <c r="H673" s="11">
        <v>0</v>
      </c>
      <c r="I673" s="11" t="s">
        <v>1223</v>
      </c>
      <c r="J673" s="12">
        <v>52</v>
      </c>
    </row>
    <row r="674" spans="1:10" x14ac:dyDescent="0.3">
      <c r="A674" s="7">
        <v>673</v>
      </c>
      <c r="B674" s="8">
        <v>0</v>
      </c>
      <c r="C674" s="8">
        <v>2</v>
      </c>
      <c r="D674" s="8" t="s">
        <v>1224</v>
      </c>
      <c r="E674" s="8" t="s">
        <v>11</v>
      </c>
      <c r="F674" s="8">
        <v>70</v>
      </c>
      <c r="G674" s="8">
        <v>0</v>
      </c>
      <c r="H674" s="8">
        <v>0</v>
      </c>
      <c r="I674" s="8" t="s">
        <v>1225</v>
      </c>
      <c r="J674" s="9">
        <v>10.5</v>
      </c>
    </row>
    <row r="675" spans="1:10" x14ac:dyDescent="0.3">
      <c r="A675" s="10">
        <v>674</v>
      </c>
      <c r="B675" s="11">
        <v>1</v>
      </c>
      <c r="C675" s="11">
        <v>2</v>
      </c>
      <c r="D675" s="11" t="s">
        <v>1226</v>
      </c>
      <c r="E675" s="11" t="s">
        <v>11</v>
      </c>
      <c r="F675" s="11">
        <v>31</v>
      </c>
      <c r="G675" s="11">
        <v>0</v>
      </c>
      <c r="H675" s="11">
        <v>0</v>
      </c>
      <c r="I675" s="11" t="s">
        <v>1227</v>
      </c>
      <c r="J675" s="12">
        <v>13</v>
      </c>
    </row>
    <row r="676" spans="1:10" x14ac:dyDescent="0.3">
      <c r="A676" s="7">
        <v>675</v>
      </c>
      <c r="B676" s="8">
        <v>0</v>
      </c>
      <c r="C676" s="8">
        <v>2</v>
      </c>
      <c r="D676" s="8" t="s">
        <v>1228</v>
      </c>
      <c r="E676" s="8" t="s">
        <v>11</v>
      </c>
      <c r="F676" s="8"/>
      <c r="G676" s="8">
        <v>0</v>
      </c>
      <c r="H676" s="8">
        <v>0</v>
      </c>
      <c r="I676" s="8" t="s">
        <v>1229</v>
      </c>
      <c r="J676" s="9">
        <v>0</v>
      </c>
    </row>
    <row r="677" spans="1:10" x14ac:dyDescent="0.3">
      <c r="A677" s="10">
        <v>676</v>
      </c>
      <c r="B677" s="11">
        <v>0</v>
      </c>
      <c r="C677" s="11">
        <v>3</v>
      </c>
      <c r="D677" s="11" t="s">
        <v>1230</v>
      </c>
      <c r="E677" s="11" t="s">
        <v>11</v>
      </c>
      <c r="F677" s="11">
        <v>18</v>
      </c>
      <c r="G677" s="11">
        <v>0</v>
      </c>
      <c r="H677" s="11">
        <v>0</v>
      </c>
      <c r="I677" s="11" t="s">
        <v>1231</v>
      </c>
      <c r="J677" s="12">
        <v>7.7750000000000004</v>
      </c>
    </row>
    <row r="678" spans="1:10" x14ac:dyDescent="0.3">
      <c r="A678" s="7">
        <v>677</v>
      </c>
      <c r="B678" s="8">
        <v>0</v>
      </c>
      <c r="C678" s="8">
        <v>3</v>
      </c>
      <c r="D678" s="8" t="s">
        <v>1232</v>
      </c>
      <c r="E678" s="8" t="s">
        <v>11</v>
      </c>
      <c r="F678" s="8">
        <v>24.5</v>
      </c>
      <c r="G678" s="8">
        <v>0</v>
      </c>
      <c r="H678" s="8">
        <v>0</v>
      </c>
      <c r="I678" s="8" t="s">
        <v>1233</v>
      </c>
      <c r="J678" s="9">
        <v>8.0500000000000007</v>
      </c>
    </row>
    <row r="679" spans="1:10" x14ac:dyDescent="0.3">
      <c r="A679" s="10">
        <v>678</v>
      </c>
      <c r="B679" s="11">
        <v>1</v>
      </c>
      <c r="C679" s="11">
        <v>3</v>
      </c>
      <c r="D679" s="11" t="s">
        <v>1234</v>
      </c>
      <c r="E679" s="11" t="s">
        <v>14</v>
      </c>
      <c r="F679" s="11">
        <v>18</v>
      </c>
      <c r="G679" s="11">
        <v>0</v>
      </c>
      <c r="H679" s="11">
        <v>0</v>
      </c>
      <c r="I679" s="11" t="s">
        <v>1235</v>
      </c>
      <c r="J679" s="12">
        <v>9.8416999999999994</v>
      </c>
    </row>
    <row r="680" spans="1:10" x14ac:dyDescent="0.3">
      <c r="A680" s="7">
        <v>679</v>
      </c>
      <c r="B680" s="8">
        <v>0</v>
      </c>
      <c r="C680" s="8">
        <v>3</v>
      </c>
      <c r="D680" s="8" t="s">
        <v>1236</v>
      </c>
      <c r="E680" s="8" t="s">
        <v>14</v>
      </c>
      <c r="F680" s="8">
        <v>43</v>
      </c>
      <c r="G680" s="8">
        <v>1</v>
      </c>
      <c r="H680" s="8">
        <v>6</v>
      </c>
      <c r="I680" s="8" t="s">
        <v>130</v>
      </c>
      <c r="J680" s="9">
        <v>46.9</v>
      </c>
    </row>
    <row r="681" spans="1:10" x14ac:dyDescent="0.3">
      <c r="A681" s="10">
        <v>680</v>
      </c>
      <c r="B681" s="11">
        <v>1</v>
      </c>
      <c r="C681" s="11">
        <v>1</v>
      </c>
      <c r="D681" s="11" t="s">
        <v>1237</v>
      </c>
      <c r="E681" s="11" t="s">
        <v>11</v>
      </c>
      <c r="F681" s="11">
        <v>36</v>
      </c>
      <c r="G681" s="11">
        <v>0</v>
      </c>
      <c r="H681" s="11">
        <v>1</v>
      </c>
      <c r="I681" s="11" t="s">
        <v>502</v>
      </c>
      <c r="J681" s="12">
        <v>512.32920000000001</v>
      </c>
    </row>
    <row r="682" spans="1:10" x14ac:dyDescent="0.3">
      <c r="A682" s="7">
        <v>681</v>
      </c>
      <c r="B682" s="8">
        <v>0</v>
      </c>
      <c r="C682" s="8">
        <v>3</v>
      </c>
      <c r="D682" s="8" t="s">
        <v>1238</v>
      </c>
      <c r="E682" s="8" t="s">
        <v>14</v>
      </c>
      <c r="F682" s="8"/>
      <c r="G682" s="8">
        <v>0</v>
      </c>
      <c r="H682" s="8">
        <v>0</v>
      </c>
      <c r="I682" s="8" t="s">
        <v>1239</v>
      </c>
      <c r="J682" s="9">
        <v>8.1374999999999993</v>
      </c>
    </row>
    <row r="683" spans="1:10" x14ac:dyDescent="0.3">
      <c r="A683" s="10">
        <v>682</v>
      </c>
      <c r="B683" s="11">
        <v>1</v>
      </c>
      <c r="C683" s="11">
        <v>1</v>
      </c>
      <c r="D683" s="11" t="s">
        <v>1240</v>
      </c>
      <c r="E683" s="11" t="s">
        <v>11</v>
      </c>
      <c r="F683" s="11">
        <v>27</v>
      </c>
      <c r="G683" s="11">
        <v>0</v>
      </c>
      <c r="H683" s="11">
        <v>0</v>
      </c>
      <c r="I683" s="11" t="s">
        <v>116</v>
      </c>
      <c r="J683" s="12">
        <v>76.729200000000006</v>
      </c>
    </row>
    <row r="684" spans="1:10" x14ac:dyDescent="0.3">
      <c r="A684" s="7">
        <v>683</v>
      </c>
      <c r="B684" s="8">
        <v>0</v>
      </c>
      <c r="C684" s="8">
        <v>3</v>
      </c>
      <c r="D684" s="8" t="s">
        <v>1241</v>
      </c>
      <c r="E684" s="8" t="s">
        <v>11</v>
      </c>
      <c r="F684" s="8">
        <v>20</v>
      </c>
      <c r="G684" s="8">
        <v>0</v>
      </c>
      <c r="H684" s="8">
        <v>0</v>
      </c>
      <c r="I684" s="8" t="s">
        <v>1242</v>
      </c>
      <c r="J684" s="9">
        <v>9.2249999999999996</v>
      </c>
    </row>
    <row r="685" spans="1:10" x14ac:dyDescent="0.3">
      <c r="A685" s="10">
        <v>684</v>
      </c>
      <c r="B685" s="11">
        <v>0</v>
      </c>
      <c r="C685" s="11">
        <v>3</v>
      </c>
      <c r="D685" s="11" t="s">
        <v>1243</v>
      </c>
      <c r="E685" s="11" t="s">
        <v>11</v>
      </c>
      <c r="F685" s="11">
        <v>14</v>
      </c>
      <c r="G685" s="11">
        <v>5</v>
      </c>
      <c r="H685" s="11">
        <v>2</v>
      </c>
      <c r="I685" s="11" t="s">
        <v>130</v>
      </c>
      <c r="J685" s="12">
        <v>46.9</v>
      </c>
    </row>
    <row r="686" spans="1:10" x14ac:dyDescent="0.3">
      <c r="A686" s="7">
        <v>685</v>
      </c>
      <c r="B686" s="8">
        <v>0</v>
      </c>
      <c r="C686" s="8">
        <v>2</v>
      </c>
      <c r="D686" s="8" t="s">
        <v>1244</v>
      </c>
      <c r="E686" s="8" t="s">
        <v>11</v>
      </c>
      <c r="F686" s="8">
        <v>60</v>
      </c>
      <c r="G686" s="8">
        <v>1</v>
      </c>
      <c r="H686" s="8">
        <v>1</v>
      </c>
      <c r="I686" s="8" t="s">
        <v>1221</v>
      </c>
      <c r="J686" s="9">
        <v>39</v>
      </c>
    </row>
    <row r="687" spans="1:10" x14ac:dyDescent="0.3">
      <c r="A687" s="10">
        <v>686</v>
      </c>
      <c r="B687" s="11">
        <v>0</v>
      </c>
      <c r="C687" s="11">
        <v>2</v>
      </c>
      <c r="D687" s="11" t="s">
        <v>1245</v>
      </c>
      <c r="E687" s="11" t="s">
        <v>11</v>
      </c>
      <c r="F687" s="11">
        <v>25</v>
      </c>
      <c r="G687" s="11">
        <v>1</v>
      </c>
      <c r="H687" s="11">
        <v>2</v>
      </c>
      <c r="I687" s="11" t="s">
        <v>98</v>
      </c>
      <c r="J687" s="12">
        <v>41.5792</v>
      </c>
    </row>
    <row r="688" spans="1:10" x14ac:dyDescent="0.3">
      <c r="A688" s="7">
        <v>687</v>
      </c>
      <c r="B688" s="8">
        <v>0</v>
      </c>
      <c r="C688" s="8">
        <v>3</v>
      </c>
      <c r="D688" s="8" t="s">
        <v>1246</v>
      </c>
      <c r="E688" s="8" t="s">
        <v>11</v>
      </c>
      <c r="F688" s="8">
        <v>14</v>
      </c>
      <c r="G688" s="8">
        <v>4</v>
      </c>
      <c r="H688" s="8">
        <v>1</v>
      </c>
      <c r="I688" s="8" t="s">
        <v>112</v>
      </c>
      <c r="J688" s="9">
        <v>39.6875</v>
      </c>
    </row>
    <row r="689" spans="1:10" x14ac:dyDescent="0.3">
      <c r="A689" s="10">
        <v>688</v>
      </c>
      <c r="B689" s="11">
        <v>0</v>
      </c>
      <c r="C689" s="11">
        <v>3</v>
      </c>
      <c r="D689" s="11" t="s">
        <v>1247</v>
      </c>
      <c r="E689" s="11" t="s">
        <v>11</v>
      </c>
      <c r="F689" s="11">
        <v>19</v>
      </c>
      <c r="G689" s="11">
        <v>0</v>
      </c>
      <c r="H689" s="11">
        <v>0</v>
      </c>
      <c r="I689" s="11" t="s">
        <v>1248</v>
      </c>
      <c r="J689" s="12">
        <v>10.1708</v>
      </c>
    </row>
    <row r="690" spans="1:10" x14ac:dyDescent="0.3">
      <c r="A690" s="7">
        <v>689</v>
      </c>
      <c r="B690" s="8">
        <v>0</v>
      </c>
      <c r="C690" s="8">
        <v>3</v>
      </c>
      <c r="D690" s="8" t="s">
        <v>1249</v>
      </c>
      <c r="E690" s="8" t="s">
        <v>11</v>
      </c>
      <c r="F690" s="8">
        <v>18</v>
      </c>
      <c r="G690" s="8">
        <v>0</v>
      </c>
      <c r="H690" s="8">
        <v>0</v>
      </c>
      <c r="I690" s="8" t="s">
        <v>1250</v>
      </c>
      <c r="J690" s="9">
        <v>7.7957999999999998</v>
      </c>
    </row>
    <row r="691" spans="1:10" x14ac:dyDescent="0.3">
      <c r="A691" s="10">
        <v>690</v>
      </c>
      <c r="B691" s="11">
        <v>1</v>
      </c>
      <c r="C691" s="11">
        <v>1</v>
      </c>
      <c r="D691" s="11" t="s">
        <v>1251</v>
      </c>
      <c r="E691" s="11" t="s">
        <v>14</v>
      </c>
      <c r="F691" s="11">
        <v>15</v>
      </c>
      <c r="G691" s="11">
        <v>0</v>
      </c>
      <c r="H691" s="11">
        <v>1</v>
      </c>
      <c r="I691" s="11" t="s">
        <v>1252</v>
      </c>
      <c r="J691" s="12">
        <v>211.33750000000001</v>
      </c>
    </row>
    <row r="692" spans="1:10" x14ac:dyDescent="0.3">
      <c r="A692" s="7">
        <v>691</v>
      </c>
      <c r="B692" s="8">
        <v>1</v>
      </c>
      <c r="C692" s="8">
        <v>1</v>
      </c>
      <c r="D692" s="8" t="s">
        <v>1253</v>
      </c>
      <c r="E692" s="8" t="s">
        <v>11</v>
      </c>
      <c r="F692" s="8">
        <v>31</v>
      </c>
      <c r="G692" s="8">
        <v>1</v>
      </c>
      <c r="H692" s="8">
        <v>0</v>
      </c>
      <c r="I692" s="8" t="s">
        <v>1254</v>
      </c>
      <c r="J692" s="9">
        <v>57</v>
      </c>
    </row>
    <row r="693" spans="1:10" x14ac:dyDescent="0.3">
      <c r="A693" s="10">
        <v>692</v>
      </c>
      <c r="B693" s="11">
        <v>1</v>
      </c>
      <c r="C693" s="11">
        <v>3</v>
      </c>
      <c r="D693" s="11" t="s">
        <v>1255</v>
      </c>
      <c r="E693" s="11" t="s">
        <v>14</v>
      </c>
      <c r="F693" s="11">
        <v>4</v>
      </c>
      <c r="G693" s="11">
        <v>0</v>
      </c>
      <c r="H693" s="11">
        <v>1</v>
      </c>
      <c r="I693" s="11" t="s">
        <v>1256</v>
      </c>
      <c r="J693" s="12">
        <v>13.416700000000001</v>
      </c>
    </row>
    <row r="694" spans="1:10" x14ac:dyDescent="0.3">
      <c r="A694" s="7">
        <v>693</v>
      </c>
      <c r="B694" s="8">
        <v>1</v>
      </c>
      <c r="C694" s="8">
        <v>3</v>
      </c>
      <c r="D694" s="8" t="s">
        <v>1257</v>
      </c>
      <c r="E694" s="8" t="s">
        <v>11</v>
      </c>
      <c r="F694" s="8"/>
      <c r="G694" s="8">
        <v>0</v>
      </c>
      <c r="H694" s="8">
        <v>0</v>
      </c>
      <c r="I694" s="8" t="s">
        <v>159</v>
      </c>
      <c r="J694" s="9">
        <v>56.495800000000003</v>
      </c>
    </row>
    <row r="695" spans="1:10" x14ac:dyDescent="0.3">
      <c r="A695" s="10">
        <v>694</v>
      </c>
      <c r="B695" s="11">
        <v>0</v>
      </c>
      <c r="C695" s="11">
        <v>3</v>
      </c>
      <c r="D695" s="11" t="s">
        <v>1258</v>
      </c>
      <c r="E695" s="11" t="s">
        <v>11</v>
      </c>
      <c r="F695" s="11">
        <v>25</v>
      </c>
      <c r="G695" s="11">
        <v>0</v>
      </c>
      <c r="H695" s="11">
        <v>0</v>
      </c>
      <c r="I695" s="11" t="s">
        <v>1259</v>
      </c>
      <c r="J695" s="12">
        <v>7.2249999999999996</v>
      </c>
    </row>
    <row r="696" spans="1:10" x14ac:dyDescent="0.3">
      <c r="A696" s="7">
        <v>695</v>
      </c>
      <c r="B696" s="8">
        <v>0</v>
      </c>
      <c r="C696" s="8">
        <v>1</v>
      </c>
      <c r="D696" s="8" t="s">
        <v>1260</v>
      </c>
      <c r="E696" s="8" t="s">
        <v>11</v>
      </c>
      <c r="F696" s="8">
        <v>60</v>
      </c>
      <c r="G696" s="8">
        <v>0</v>
      </c>
      <c r="H696" s="8">
        <v>0</v>
      </c>
      <c r="I696" s="8" t="s">
        <v>1261</v>
      </c>
      <c r="J696" s="9">
        <v>26.55</v>
      </c>
    </row>
    <row r="697" spans="1:10" x14ac:dyDescent="0.3">
      <c r="A697" s="10">
        <v>696</v>
      </c>
      <c r="B697" s="11">
        <v>0</v>
      </c>
      <c r="C697" s="11">
        <v>2</v>
      </c>
      <c r="D697" s="11" t="s">
        <v>1262</v>
      </c>
      <c r="E697" s="11" t="s">
        <v>11</v>
      </c>
      <c r="F697" s="11">
        <v>52</v>
      </c>
      <c r="G697" s="11">
        <v>0</v>
      </c>
      <c r="H697" s="11">
        <v>0</v>
      </c>
      <c r="I697" s="11" t="s">
        <v>1263</v>
      </c>
      <c r="J697" s="12">
        <v>13.5</v>
      </c>
    </row>
    <row r="698" spans="1:10" x14ac:dyDescent="0.3">
      <c r="A698" s="7">
        <v>697</v>
      </c>
      <c r="B698" s="8">
        <v>0</v>
      </c>
      <c r="C698" s="8">
        <v>3</v>
      </c>
      <c r="D698" s="8" t="s">
        <v>1264</v>
      </c>
      <c r="E698" s="8" t="s">
        <v>11</v>
      </c>
      <c r="F698" s="8">
        <v>44</v>
      </c>
      <c r="G698" s="8">
        <v>0</v>
      </c>
      <c r="H698" s="8">
        <v>0</v>
      </c>
      <c r="I698" s="8" t="s">
        <v>1265</v>
      </c>
      <c r="J698" s="9">
        <v>8.0500000000000007</v>
      </c>
    </row>
    <row r="699" spans="1:10" x14ac:dyDescent="0.3">
      <c r="A699" s="10">
        <v>698</v>
      </c>
      <c r="B699" s="11">
        <v>1</v>
      </c>
      <c r="C699" s="11">
        <v>3</v>
      </c>
      <c r="D699" s="11" t="s">
        <v>1266</v>
      </c>
      <c r="E699" s="11" t="s">
        <v>14</v>
      </c>
      <c r="F699" s="11"/>
      <c r="G699" s="11">
        <v>0</v>
      </c>
      <c r="H699" s="11">
        <v>0</v>
      </c>
      <c r="I699" s="11" t="s">
        <v>1267</v>
      </c>
      <c r="J699" s="12">
        <v>7.7332999999999998</v>
      </c>
    </row>
    <row r="700" spans="1:10" x14ac:dyDescent="0.3">
      <c r="A700" s="7">
        <v>699</v>
      </c>
      <c r="B700" s="8">
        <v>0</v>
      </c>
      <c r="C700" s="8">
        <v>1</v>
      </c>
      <c r="D700" s="8" t="s">
        <v>1268</v>
      </c>
      <c r="E700" s="8" t="s">
        <v>11</v>
      </c>
      <c r="F700" s="8">
        <v>49</v>
      </c>
      <c r="G700" s="8">
        <v>1</v>
      </c>
      <c r="H700" s="8">
        <v>1</v>
      </c>
      <c r="I700" s="8" t="s">
        <v>591</v>
      </c>
      <c r="J700" s="9">
        <v>110.88330000000001</v>
      </c>
    </row>
    <row r="701" spans="1:10" x14ac:dyDescent="0.3">
      <c r="A701" s="10">
        <v>700</v>
      </c>
      <c r="B701" s="11">
        <v>0</v>
      </c>
      <c r="C701" s="11">
        <v>3</v>
      </c>
      <c r="D701" s="11" t="s">
        <v>1269</v>
      </c>
      <c r="E701" s="11" t="s">
        <v>11</v>
      </c>
      <c r="F701" s="11">
        <v>42</v>
      </c>
      <c r="G701" s="11">
        <v>0</v>
      </c>
      <c r="H701" s="11">
        <v>0</v>
      </c>
      <c r="I701" s="11" t="s">
        <v>1270</v>
      </c>
      <c r="J701" s="12">
        <v>7.65</v>
      </c>
    </row>
    <row r="702" spans="1:10" x14ac:dyDescent="0.3">
      <c r="A702" s="7">
        <v>701</v>
      </c>
      <c r="B702" s="8">
        <v>1</v>
      </c>
      <c r="C702" s="8">
        <v>1</v>
      </c>
      <c r="D702" s="8" t="s">
        <v>1271</v>
      </c>
      <c r="E702" s="8" t="s">
        <v>14</v>
      </c>
      <c r="F702" s="8">
        <v>18</v>
      </c>
      <c r="G702" s="8">
        <v>1</v>
      </c>
      <c r="H702" s="8">
        <v>0</v>
      </c>
      <c r="I702" s="8" t="s">
        <v>720</v>
      </c>
      <c r="J702" s="9">
        <v>227.52500000000001</v>
      </c>
    </row>
    <row r="703" spans="1:10" x14ac:dyDescent="0.3">
      <c r="A703" s="10">
        <v>702</v>
      </c>
      <c r="B703" s="11">
        <v>1</v>
      </c>
      <c r="C703" s="11">
        <v>1</v>
      </c>
      <c r="D703" s="11" t="s">
        <v>1272</v>
      </c>
      <c r="E703" s="11" t="s">
        <v>11</v>
      </c>
      <c r="F703" s="11">
        <v>35</v>
      </c>
      <c r="G703" s="11">
        <v>0</v>
      </c>
      <c r="H703" s="11">
        <v>0</v>
      </c>
      <c r="I703" s="11" t="s">
        <v>1273</v>
      </c>
      <c r="J703" s="12">
        <v>26.287500000000001</v>
      </c>
    </row>
    <row r="704" spans="1:10" x14ac:dyDescent="0.3">
      <c r="A704" s="7">
        <v>703</v>
      </c>
      <c r="B704" s="8">
        <v>0</v>
      </c>
      <c r="C704" s="8">
        <v>3</v>
      </c>
      <c r="D704" s="8" t="s">
        <v>1274</v>
      </c>
      <c r="E704" s="8" t="s">
        <v>14</v>
      </c>
      <c r="F704" s="8">
        <v>18</v>
      </c>
      <c r="G704" s="8">
        <v>0</v>
      </c>
      <c r="H704" s="8">
        <v>1</v>
      </c>
      <c r="I704" s="8" t="s">
        <v>688</v>
      </c>
      <c r="J704" s="9">
        <v>14.4542</v>
      </c>
    </row>
    <row r="705" spans="1:10" x14ac:dyDescent="0.3">
      <c r="A705" s="10">
        <v>704</v>
      </c>
      <c r="B705" s="11">
        <v>0</v>
      </c>
      <c r="C705" s="11">
        <v>3</v>
      </c>
      <c r="D705" s="11" t="s">
        <v>1275</v>
      </c>
      <c r="E705" s="11" t="s">
        <v>11</v>
      </c>
      <c r="F705" s="11">
        <v>25</v>
      </c>
      <c r="G705" s="11">
        <v>0</v>
      </c>
      <c r="H705" s="11">
        <v>0</v>
      </c>
      <c r="I705" s="11" t="s">
        <v>1276</v>
      </c>
      <c r="J705" s="12">
        <v>7.7416999999999998</v>
      </c>
    </row>
    <row r="706" spans="1:10" x14ac:dyDescent="0.3">
      <c r="A706" s="7">
        <v>705</v>
      </c>
      <c r="B706" s="8">
        <v>0</v>
      </c>
      <c r="C706" s="8">
        <v>3</v>
      </c>
      <c r="D706" s="8" t="s">
        <v>1277</v>
      </c>
      <c r="E706" s="8" t="s">
        <v>11</v>
      </c>
      <c r="F706" s="8">
        <v>26</v>
      </c>
      <c r="G706" s="8">
        <v>1</v>
      </c>
      <c r="H706" s="8">
        <v>0</v>
      </c>
      <c r="I706" s="8" t="s">
        <v>1278</v>
      </c>
      <c r="J706" s="9">
        <v>7.8541999999999996</v>
      </c>
    </row>
    <row r="707" spans="1:10" x14ac:dyDescent="0.3">
      <c r="A707" s="10">
        <v>706</v>
      </c>
      <c r="B707" s="11">
        <v>0</v>
      </c>
      <c r="C707" s="11">
        <v>2</v>
      </c>
      <c r="D707" s="11" t="s">
        <v>1279</v>
      </c>
      <c r="E707" s="11" t="s">
        <v>11</v>
      </c>
      <c r="F707" s="11">
        <v>39</v>
      </c>
      <c r="G707" s="11">
        <v>0</v>
      </c>
      <c r="H707" s="11">
        <v>0</v>
      </c>
      <c r="I707" s="11" t="s">
        <v>804</v>
      </c>
      <c r="J707" s="12">
        <v>26</v>
      </c>
    </row>
    <row r="708" spans="1:10" x14ac:dyDescent="0.3">
      <c r="A708" s="7">
        <v>707</v>
      </c>
      <c r="B708" s="8">
        <v>1</v>
      </c>
      <c r="C708" s="8">
        <v>2</v>
      </c>
      <c r="D708" s="8" t="s">
        <v>1280</v>
      </c>
      <c r="E708" s="8" t="s">
        <v>14</v>
      </c>
      <c r="F708" s="8">
        <v>45</v>
      </c>
      <c r="G708" s="8">
        <v>0</v>
      </c>
      <c r="H708" s="8">
        <v>0</v>
      </c>
      <c r="I708" s="8" t="s">
        <v>1281</v>
      </c>
      <c r="J708" s="9">
        <v>13.5</v>
      </c>
    </row>
    <row r="709" spans="1:10" x14ac:dyDescent="0.3">
      <c r="A709" s="10">
        <v>708</v>
      </c>
      <c r="B709" s="11">
        <v>1</v>
      </c>
      <c r="C709" s="11">
        <v>1</v>
      </c>
      <c r="D709" s="11" t="s">
        <v>1282</v>
      </c>
      <c r="E709" s="11" t="s">
        <v>11</v>
      </c>
      <c r="F709" s="11">
        <v>42</v>
      </c>
      <c r="G709" s="11">
        <v>0</v>
      </c>
      <c r="H709" s="11">
        <v>0</v>
      </c>
      <c r="I709" s="11" t="s">
        <v>1283</v>
      </c>
      <c r="J709" s="12">
        <v>26.287500000000001</v>
      </c>
    </row>
    <row r="710" spans="1:10" x14ac:dyDescent="0.3">
      <c r="A710" s="7">
        <v>709</v>
      </c>
      <c r="B710" s="8">
        <v>1</v>
      </c>
      <c r="C710" s="8">
        <v>1</v>
      </c>
      <c r="D710" s="8" t="s">
        <v>1284</v>
      </c>
      <c r="E710" s="8" t="s">
        <v>14</v>
      </c>
      <c r="F710" s="8">
        <v>22</v>
      </c>
      <c r="G710" s="8">
        <v>0</v>
      </c>
      <c r="H710" s="8">
        <v>0</v>
      </c>
      <c r="I710" s="8" t="s">
        <v>576</v>
      </c>
      <c r="J710" s="9">
        <v>151.55000000000001</v>
      </c>
    </row>
    <row r="711" spans="1:10" x14ac:dyDescent="0.3">
      <c r="A711" s="10">
        <v>710</v>
      </c>
      <c r="B711" s="11">
        <v>1</v>
      </c>
      <c r="C711" s="11">
        <v>3</v>
      </c>
      <c r="D711" s="11" t="s">
        <v>1285</v>
      </c>
      <c r="E711" s="11" t="s">
        <v>11</v>
      </c>
      <c r="F711" s="11"/>
      <c r="G711" s="11">
        <v>1</v>
      </c>
      <c r="H711" s="11">
        <v>1</v>
      </c>
      <c r="I711" s="11" t="s">
        <v>142</v>
      </c>
      <c r="J711" s="12">
        <v>15.245799999999999</v>
      </c>
    </row>
    <row r="712" spans="1:10" x14ac:dyDescent="0.3">
      <c r="A712" s="7">
        <v>711</v>
      </c>
      <c r="B712" s="8">
        <v>1</v>
      </c>
      <c r="C712" s="8">
        <v>1</v>
      </c>
      <c r="D712" s="8" t="s">
        <v>1286</v>
      </c>
      <c r="E712" s="8" t="s">
        <v>14</v>
      </c>
      <c r="F712" s="8">
        <v>24</v>
      </c>
      <c r="G712" s="8">
        <v>0</v>
      </c>
      <c r="H712" s="8">
        <v>0</v>
      </c>
      <c r="I712" s="8" t="s">
        <v>1287</v>
      </c>
      <c r="J712" s="9">
        <v>49.504199999999997</v>
      </c>
    </row>
    <row r="713" spans="1:10" x14ac:dyDescent="0.3">
      <c r="A713" s="10">
        <v>712</v>
      </c>
      <c r="B713" s="11">
        <v>0</v>
      </c>
      <c r="C713" s="11">
        <v>1</v>
      </c>
      <c r="D713" s="11" t="s">
        <v>1288</v>
      </c>
      <c r="E713" s="11" t="s">
        <v>11</v>
      </c>
      <c r="F713" s="11"/>
      <c r="G713" s="11">
        <v>0</v>
      </c>
      <c r="H713" s="11">
        <v>0</v>
      </c>
      <c r="I713" s="11" t="s">
        <v>1289</v>
      </c>
      <c r="J713" s="12">
        <v>26.55</v>
      </c>
    </row>
    <row r="714" spans="1:10" x14ac:dyDescent="0.3">
      <c r="A714" s="7">
        <v>713</v>
      </c>
      <c r="B714" s="8">
        <v>1</v>
      </c>
      <c r="C714" s="8">
        <v>1</v>
      </c>
      <c r="D714" s="8" t="s">
        <v>1290</v>
      </c>
      <c r="E714" s="8" t="s">
        <v>11</v>
      </c>
      <c r="F714" s="8">
        <v>48</v>
      </c>
      <c r="G714" s="8">
        <v>1</v>
      </c>
      <c r="H714" s="8">
        <v>0</v>
      </c>
      <c r="I714" s="8" t="s">
        <v>1219</v>
      </c>
      <c r="J714" s="9">
        <v>52</v>
      </c>
    </row>
    <row r="715" spans="1:10" x14ac:dyDescent="0.3">
      <c r="A715" s="10">
        <v>714</v>
      </c>
      <c r="B715" s="11">
        <v>0</v>
      </c>
      <c r="C715" s="11">
        <v>3</v>
      </c>
      <c r="D715" s="11" t="s">
        <v>1291</v>
      </c>
      <c r="E715" s="11" t="s">
        <v>11</v>
      </c>
      <c r="F715" s="11">
        <v>29</v>
      </c>
      <c r="G715" s="11">
        <v>0</v>
      </c>
      <c r="H715" s="11">
        <v>0</v>
      </c>
      <c r="I715" s="11" t="s">
        <v>1292</v>
      </c>
      <c r="J715" s="12">
        <v>9.4832999999999998</v>
      </c>
    </row>
    <row r="716" spans="1:10" x14ac:dyDescent="0.3">
      <c r="A716" s="7">
        <v>715</v>
      </c>
      <c r="B716" s="8">
        <v>0</v>
      </c>
      <c r="C716" s="8">
        <v>2</v>
      </c>
      <c r="D716" s="8" t="s">
        <v>1293</v>
      </c>
      <c r="E716" s="8" t="s">
        <v>11</v>
      </c>
      <c r="F716" s="8">
        <v>52</v>
      </c>
      <c r="G716" s="8">
        <v>0</v>
      </c>
      <c r="H716" s="8">
        <v>0</v>
      </c>
      <c r="I716" s="8" t="s">
        <v>1294</v>
      </c>
      <c r="J716" s="9">
        <v>13</v>
      </c>
    </row>
    <row r="717" spans="1:10" x14ac:dyDescent="0.3">
      <c r="A717" s="10">
        <v>716</v>
      </c>
      <c r="B717" s="11">
        <v>0</v>
      </c>
      <c r="C717" s="11">
        <v>3</v>
      </c>
      <c r="D717" s="11" t="s">
        <v>1295</v>
      </c>
      <c r="E717" s="11" t="s">
        <v>11</v>
      </c>
      <c r="F717" s="11">
        <v>19</v>
      </c>
      <c r="G717" s="11">
        <v>0</v>
      </c>
      <c r="H717" s="11">
        <v>0</v>
      </c>
      <c r="I717" s="11" t="s">
        <v>1296</v>
      </c>
      <c r="J717" s="12">
        <v>7.65</v>
      </c>
    </row>
    <row r="718" spans="1:10" x14ac:dyDescent="0.3">
      <c r="A718" s="7">
        <v>717</v>
      </c>
      <c r="B718" s="8">
        <v>1</v>
      </c>
      <c r="C718" s="8">
        <v>1</v>
      </c>
      <c r="D718" s="8" t="s">
        <v>1297</v>
      </c>
      <c r="E718" s="8" t="s">
        <v>14</v>
      </c>
      <c r="F718" s="8">
        <v>38</v>
      </c>
      <c r="G718" s="8">
        <v>0</v>
      </c>
      <c r="H718" s="8">
        <v>0</v>
      </c>
      <c r="I718" s="8" t="s">
        <v>720</v>
      </c>
      <c r="J718" s="9">
        <v>227.52500000000001</v>
      </c>
    </row>
    <row r="719" spans="1:10" x14ac:dyDescent="0.3">
      <c r="A719" s="10">
        <v>718</v>
      </c>
      <c r="B719" s="11">
        <v>1</v>
      </c>
      <c r="C719" s="11">
        <v>2</v>
      </c>
      <c r="D719" s="11" t="s">
        <v>1298</v>
      </c>
      <c r="E719" s="11" t="s">
        <v>14</v>
      </c>
      <c r="F719" s="11">
        <v>27</v>
      </c>
      <c r="G719" s="11">
        <v>0</v>
      </c>
      <c r="H719" s="11">
        <v>0</v>
      </c>
      <c r="I719" s="11" t="s">
        <v>1299</v>
      </c>
      <c r="J719" s="12">
        <v>10.5</v>
      </c>
    </row>
    <row r="720" spans="1:10" x14ac:dyDescent="0.3">
      <c r="A720" s="7">
        <v>719</v>
      </c>
      <c r="B720" s="8">
        <v>0</v>
      </c>
      <c r="C720" s="8">
        <v>3</v>
      </c>
      <c r="D720" s="8" t="s">
        <v>1300</v>
      </c>
      <c r="E720" s="8" t="s">
        <v>11</v>
      </c>
      <c r="F720" s="8"/>
      <c r="G720" s="8">
        <v>0</v>
      </c>
      <c r="H720" s="8">
        <v>0</v>
      </c>
      <c r="I720" s="8" t="s">
        <v>1301</v>
      </c>
      <c r="J720" s="9">
        <v>15.5</v>
      </c>
    </row>
    <row r="721" spans="1:10" x14ac:dyDescent="0.3">
      <c r="A721" s="10">
        <v>720</v>
      </c>
      <c r="B721" s="11">
        <v>0</v>
      </c>
      <c r="C721" s="11">
        <v>3</v>
      </c>
      <c r="D721" s="11" t="s">
        <v>1302</v>
      </c>
      <c r="E721" s="11" t="s">
        <v>11</v>
      </c>
      <c r="F721" s="11">
        <v>33</v>
      </c>
      <c r="G721" s="11">
        <v>0</v>
      </c>
      <c r="H721" s="11">
        <v>0</v>
      </c>
      <c r="I721" s="11" t="s">
        <v>1303</v>
      </c>
      <c r="J721" s="12">
        <v>7.7750000000000004</v>
      </c>
    </row>
    <row r="722" spans="1:10" x14ac:dyDescent="0.3">
      <c r="A722" s="7">
        <v>721</v>
      </c>
      <c r="B722" s="8">
        <v>1</v>
      </c>
      <c r="C722" s="8">
        <v>2</v>
      </c>
      <c r="D722" s="8" t="s">
        <v>1304</v>
      </c>
      <c r="E722" s="8" t="s">
        <v>14</v>
      </c>
      <c r="F722" s="8">
        <v>6</v>
      </c>
      <c r="G722" s="8">
        <v>0</v>
      </c>
      <c r="H722" s="8">
        <v>1</v>
      </c>
      <c r="I722" s="8" t="s">
        <v>1100</v>
      </c>
      <c r="J722" s="9">
        <v>33</v>
      </c>
    </row>
    <row r="723" spans="1:10" x14ac:dyDescent="0.3">
      <c r="A723" s="10">
        <v>722</v>
      </c>
      <c r="B723" s="11">
        <v>0</v>
      </c>
      <c r="C723" s="11">
        <v>3</v>
      </c>
      <c r="D723" s="11" t="s">
        <v>1305</v>
      </c>
      <c r="E723" s="11" t="s">
        <v>11</v>
      </c>
      <c r="F723" s="11">
        <v>17</v>
      </c>
      <c r="G723" s="11">
        <v>1</v>
      </c>
      <c r="H723" s="11">
        <v>0</v>
      </c>
      <c r="I723" s="11" t="s">
        <v>1306</v>
      </c>
      <c r="J723" s="12">
        <v>7.0541999999999998</v>
      </c>
    </row>
    <row r="724" spans="1:10" x14ac:dyDescent="0.3">
      <c r="A724" s="7">
        <v>723</v>
      </c>
      <c r="B724" s="8">
        <v>0</v>
      </c>
      <c r="C724" s="8">
        <v>2</v>
      </c>
      <c r="D724" s="8" t="s">
        <v>1307</v>
      </c>
      <c r="E724" s="8" t="s">
        <v>11</v>
      </c>
      <c r="F724" s="8">
        <v>34</v>
      </c>
      <c r="G724" s="8">
        <v>0</v>
      </c>
      <c r="H724" s="8">
        <v>0</v>
      </c>
      <c r="I724" s="8" t="s">
        <v>1308</v>
      </c>
      <c r="J724" s="9">
        <v>13</v>
      </c>
    </row>
    <row r="725" spans="1:10" x14ac:dyDescent="0.3">
      <c r="A725" s="10">
        <v>724</v>
      </c>
      <c r="B725" s="11">
        <v>0</v>
      </c>
      <c r="C725" s="11">
        <v>2</v>
      </c>
      <c r="D725" s="11" t="s">
        <v>1309</v>
      </c>
      <c r="E725" s="11" t="s">
        <v>11</v>
      </c>
      <c r="F725" s="11">
        <v>50</v>
      </c>
      <c r="G725" s="11">
        <v>0</v>
      </c>
      <c r="H725" s="11">
        <v>0</v>
      </c>
      <c r="I725" s="11" t="s">
        <v>1310</v>
      </c>
      <c r="J725" s="12">
        <v>13</v>
      </c>
    </row>
    <row r="726" spans="1:10" x14ac:dyDescent="0.3">
      <c r="A726" s="7">
        <v>725</v>
      </c>
      <c r="B726" s="8">
        <v>1</v>
      </c>
      <c r="C726" s="8">
        <v>1</v>
      </c>
      <c r="D726" s="8" t="s">
        <v>1311</v>
      </c>
      <c r="E726" s="8" t="s">
        <v>11</v>
      </c>
      <c r="F726" s="8">
        <v>27</v>
      </c>
      <c r="G726" s="8">
        <v>1</v>
      </c>
      <c r="H726" s="8">
        <v>0</v>
      </c>
      <c r="I726" s="8" t="s">
        <v>1312</v>
      </c>
      <c r="J726" s="9">
        <v>53.1</v>
      </c>
    </row>
    <row r="727" spans="1:10" x14ac:dyDescent="0.3">
      <c r="A727" s="10">
        <v>726</v>
      </c>
      <c r="B727" s="11">
        <v>0</v>
      </c>
      <c r="C727" s="11">
        <v>3</v>
      </c>
      <c r="D727" s="11" t="s">
        <v>1313</v>
      </c>
      <c r="E727" s="11" t="s">
        <v>11</v>
      </c>
      <c r="F727" s="11">
        <v>20</v>
      </c>
      <c r="G727" s="11">
        <v>0</v>
      </c>
      <c r="H727" s="11">
        <v>0</v>
      </c>
      <c r="I727" s="11" t="s">
        <v>1314</v>
      </c>
      <c r="J727" s="12">
        <v>8.6624999999999996</v>
      </c>
    </row>
    <row r="728" spans="1:10" x14ac:dyDescent="0.3">
      <c r="A728" s="7">
        <v>727</v>
      </c>
      <c r="B728" s="8">
        <v>1</v>
      </c>
      <c r="C728" s="8">
        <v>2</v>
      </c>
      <c r="D728" s="8" t="s">
        <v>1315</v>
      </c>
      <c r="E728" s="8" t="s">
        <v>14</v>
      </c>
      <c r="F728" s="8">
        <v>30</v>
      </c>
      <c r="G728" s="8">
        <v>3</v>
      </c>
      <c r="H728" s="8">
        <v>0</v>
      </c>
      <c r="I728" s="8" t="s">
        <v>891</v>
      </c>
      <c r="J728" s="9">
        <v>21</v>
      </c>
    </row>
    <row r="729" spans="1:10" x14ac:dyDescent="0.3">
      <c r="A729" s="10">
        <v>728</v>
      </c>
      <c r="B729" s="11">
        <v>1</v>
      </c>
      <c r="C729" s="11">
        <v>3</v>
      </c>
      <c r="D729" s="11" t="s">
        <v>1316</v>
      </c>
      <c r="E729" s="11" t="s">
        <v>14</v>
      </c>
      <c r="F729" s="11"/>
      <c r="G729" s="11">
        <v>0</v>
      </c>
      <c r="H729" s="11">
        <v>0</v>
      </c>
      <c r="I729" s="11" t="s">
        <v>1317</v>
      </c>
      <c r="J729" s="12">
        <v>7.7374999999999998</v>
      </c>
    </row>
    <row r="730" spans="1:10" x14ac:dyDescent="0.3">
      <c r="A730" s="7">
        <v>729</v>
      </c>
      <c r="B730" s="8">
        <v>0</v>
      </c>
      <c r="C730" s="8">
        <v>2</v>
      </c>
      <c r="D730" s="8" t="s">
        <v>1318</v>
      </c>
      <c r="E730" s="8" t="s">
        <v>11</v>
      </c>
      <c r="F730" s="8">
        <v>25</v>
      </c>
      <c r="G730" s="8">
        <v>1</v>
      </c>
      <c r="H730" s="8">
        <v>0</v>
      </c>
      <c r="I730" s="8" t="s">
        <v>1319</v>
      </c>
      <c r="J730" s="9">
        <v>26</v>
      </c>
    </row>
    <row r="731" spans="1:10" x14ac:dyDescent="0.3">
      <c r="A731" s="10">
        <v>730</v>
      </c>
      <c r="B731" s="11">
        <v>0</v>
      </c>
      <c r="C731" s="11">
        <v>3</v>
      </c>
      <c r="D731" s="11" t="s">
        <v>1320</v>
      </c>
      <c r="E731" s="11" t="s">
        <v>14</v>
      </c>
      <c r="F731" s="11">
        <v>25</v>
      </c>
      <c r="G731" s="11">
        <v>1</v>
      </c>
      <c r="H731" s="11">
        <v>0</v>
      </c>
      <c r="I731" s="11" t="s">
        <v>1321</v>
      </c>
      <c r="J731" s="12">
        <v>7.9249999999999998</v>
      </c>
    </row>
    <row r="732" spans="1:10" x14ac:dyDescent="0.3">
      <c r="A732" s="7">
        <v>731</v>
      </c>
      <c r="B732" s="8">
        <v>1</v>
      </c>
      <c r="C732" s="8">
        <v>1</v>
      </c>
      <c r="D732" s="8" t="s">
        <v>1322</v>
      </c>
      <c r="E732" s="8" t="s">
        <v>14</v>
      </c>
      <c r="F732" s="8">
        <v>29</v>
      </c>
      <c r="G732" s="8">
        <v>0</v>
      </c>
      <c r="H732" s="8">
        <v>0</v>
      </c>
      <c r="I732" s="8" t="s">
        <v>1252</v>
      </c>
      <c r="J732" s="9">
        <v>211.33750000000001</v>
      </c>
    </row>
    <row r="733" spans="1:10" x14ac:dyDescent="0.3">
      <c r="A733" s="10">
        <v>732</v>
      </c>
      <c r="B733" s="11">
        <v>0</v>
      </c>
      <c r="C733" s="11">
        <v>3</v>
      </c>
      <c r="D733" s="11" t="s">
        <v>1323</v>
      </c>
      <c r="E733" s="11" t="s">
        <v>11</v>
      </c>
      <c r="F733" s="11">
        <v>11</v>
      </c>
      <c r="G733" s="11">
        <v>0</v>
      </c>
      <c r="H733" s="11">
        <v>0</v>
      </c>
      <c r="I733" s="11" t="s">
        <v>405</v>
      </c>
      <c r="J733" s="12">
        <v>18.787500000000001</v>
      </c>
    </row>
    <row r="734" spans="1:10" x14ac:dyDescent="0.3">
      <c r="A734" s="7">
        <v>733</v>
      </c>
      <c r="B734" s="8">
        <v>0</v>
      </c>
      <c r="C734" s="8">
        <v>2</v>
      </c>
      <c r="D734" s="8" t="s">
        <v>1324</v>
      </c>
      <c r="E734" s="8" t="s">
        <v>11</v>
      </c>
      <c r="F734" s="8"/>
      <c r="G734" s="8">
        <v>0</v>
      </c>
      <c r="H734" s="8">
        <v>0</v>
      </c>
      <c r="I734" s="8" t="s">
        <v>1325</v>
      </c>
      <c r="J734" s="9">
        <v>0</v>
      </c>
    </row>
    <row r="735" spans="1:10" x14ac:dyDescent="0.3">
      <c r="A735" s="10">
        <v>734</v>
      </c>
      <c r="B735" s="11">
        <v>0</v>
      </c>
      <c r="C735" s="11">
        <v>2</v>
      </c>
      <c r="D735" s="11" t="s">
        <v>1326</v>
      </c>
      <c r="E735" s="11" t="s">
        <v>11</v>
      </c>
      <c r="F735" s="11">
        <v>23</v>
      </c>
      <c r="G735" s="11">
        <v>0</v>
      </c>
      <c r="H735" s="11">
        <v>0</v>
      </c>
      <c r="I735" s="11" t="s">
        <v>1327</v>
      </c>
      <c r="J735" s="12">
        <v>13</v>
      </c>
    </row>
    <row r="736" spans="1:10" x14ac:dyDescent="0.3">
      <c r="A736" s="7">
        <v>735</v>
      </c>
      <c r="B736" s="8">
        <v>0</v>
      </c>
      <c r="C736" s="8">
        <v>2</v>
      </c>
      <c r="D736" s="8" t="s">
        <v>1328</v>
      </c>
      <c r="E736" s="8" t="s">
        <v>11</v>
      </c>
      <c r="F736" s="8">
        <v>23</v>
      </c>
      <c r="G736" s="8">
        <v>0</v>
      </c>
      <c r="H736" s="8">
        <v>0</v>
      </c>
      <c r="I736" s="8" t="s">
        <v>1329</v>
      </c>
      <c r="J736" s="9">
        <v>13</v>
      </c>
    </row>
    <row r="737" spans="1:10" x14ac:dyDescent="0.3">
      <c r="A737" s="10">
        <v>736</v>
      </c>
      <c r="B737" s="11">
        <v>0</v>
      </c>
      <c r="C737" s="11">
        <v>3</v>
      </c>
      <c r="D737" s="11" t="s">
        <v>1330</v>
      </c>
      <c r="E737" s="11" t="s">
        <v>11</v>
      </c>
      <c r="F737" s="11">
        <v>28.5</v>
      </c>
      <c r="G737" s="11">
        <v>0</v>
      </c>
      <c r="H737" s="11">
        <v>0</v>
      </c>
      <c r="I737" s="11" t="s">
        <v>1145</v>
      </c>
      <c r="J737" s="12">
        <v>16.100000000000001</v>
      </c>
    </row>
    <row r="738" spans="1:10" x14ac:dyDescent="0.3">
      <c r="A738" s="7">
        <v>737</v>
      </c>
      <c r="B738" s="8">
        <v>0</v>
      </c>
      <c r="C738" s="8">
        <v>3</v>
      </c>
      <c r="D738" s="8" t="s">
        <v>1331</v>
      </c>
      <c r="E738" s="8" t="s">
        <v>14</v>
      </c>
      <c r="F738" s="8">
        <v>48</v>
      </c>
      <c r="G738" s="8">
        <v>1</v>
      </c>
      <c r="H738" s="8">
        <v>3</v>
      </c>
      <c r="I738" s="8" t="s">
        <v>183</v>
      </c>
      <c r="J738" s="9">
        <v>34.375</v>
      </c>
    </row>
    <row r="739" spans="1:10" x14ac:dyDescent="0.3">
      <c r="A739" s="10">
        <v>738</v>
      </c>
      <c r="B739" s="11">
        <v>1</v>
      </c>
      <c r="C739" s="11">
        <v>1</v>
      </c>
      <c r="D739" s="11" t="s">
        <v>1332</v>
      </c>
      <c r="E739" s="11" t="s">
        <v>11</v>
      </c>
      <c r="F739" s="11">
        <v>35</v>
      </c>
      <c r="G739" s="11">
        <v>0</v>
      </c>
      <c r="H739" s="11">
        <v>0</v>
      </c>
      <c r="I739" s="11" t="s">
        <v>502</v>
      </c>
      <c r="J739" s="12">
        <v>512.32920000000001</v>
      </c>
    </row>
    <row r="740" spans="1:10" x14ac:dyDescent="0.3">
      <c r="A740" s="7">
        <v>739</v>
      </c>
      <c r="B740" s="8">
        <v>0</v>
      </c>
      <c r="C740" s="8">
        <v>3</v>
      </c>
      <c r="D740" s="8" t="s">
        <v>1333</v>
      </c>
      <c r="E740" s="8" t="s">
        <v>11</v>
      </c>
      <c r="F740" s="8"/>
      <c r="G740" s="8">
        <v>0</v>
      </c>
      <c r="H740" s="8">
        <v>0</v>
      </c>
      <c r="I740" s="8" t="s">
        <v>1334</v>
      </c>
      <c r="J740" s="9">
        <v>7.8958000000000004</v>
      </c>
    </row>
    <row r="741" spans="1:10" x14ac:dyDescent="0.3">
      <c r="A741" s="10">
        <v>740</v>
      </c>
      <c r="B741" s="11">
        <v>0</v>
      </c>
      <c r="C741" s="11">
        <v>3</v>
      </c>
      <c r="D741" s="11" t="s">
        <v>1335</v>
      </c>
      <c r="E741" s="11" t="s">
        <v>11</v>
      </c>
      <c r="F741" s="11"/>
      <c r="G741" s="11">
        <v>0</v>
      </c>
      <c r="H741" s="11">
        <v>0</v>
      </c>
      <c r="I741" s="11" t="s">
        <v>1336</v>
      </c>
      <c r="J741" s="12">
        <v>7.8958000000000004</v>
      </c>
    </row>
    <row r="742" spans="1:10" x14ac:dyDescent="0.3">
      <c r="A742" s="7">
        <v>741</v>
      </c>
      <c r="B742" s="8">
        <v>1</v>
      </c>
      <c r="C742" s="8">
        <v>1</v>
      </c>
      <c r="D742" s="8" t="s">
        <v>1337</v>
      </c>
      <c r="E742" s="8" t="s">
        <v>11</v>
      </c>
      <c r="F742" s="8"/>
      <c r="G742" s="8">
        <v>0</v>
      </c>
      <c r="H742" s="8">
        <v>0</v>
      </c>
      <c r="I742" s="8" t="s">
        <v>1338</v>
      </c>
      <c r="J742" s="9">
        <v>30</v>
      </c>
    </row>
    <row r="743" spans="1:10" x14ac:dyDescent="0.3">
      <c r="A743" s="10">
        <v>742</v>
      </c>
      <c r="B743" s="11">
        <v>0</v>
      </c>
      <c r="C743" s="11">
        <v>1</v>
      </c>
      <c r="D743" s="11" t="s">
        <v>1339</v>
      </c>
      <c r="E743" s="11" t="s">
        <v>11</v>
      </c>
      <c r="F743" s="11">
        <v>36</v>
      </c>
      <c r="G743" s="11">
        <v>1</v>
      </c>
      <c r="H743" s="11">
        <v>0</v>
      </c>
      <c r="I743" s="11" t="s">
        <v>562</v>
      </c>
      <c r="J743" s="12">
        <v>78.849999999999994</v>
      </c>
    </row>
    <row r="744" spans="1:10" x14ac:dyDescent="0.3">
      <c r="A744" s="7">
        <v>743</v>
      </c>
      <c r="B744" s="8">
        <v>1</v>
      </c>
      <c r="C744" s="8">
        <v>1</v>
      </c>
      <c r="D744" s="8" t="s">
        <v>1340</v>
      </c>
      <c r="E744" s="8" t="s">
        <v>14</v>
      </c>
      <c r="F744" s="8">
        <v>21</v>
      </c>
      <c r="G744" s="8">
        <v>2</v>
      </c>
      <c r="H744" s="8">
        <v>2</v>
      </c>
      <c r="I744" s="8" t="s">
        <v>601</v>
      </c>
      <c r="J744" s="9">
        <v>262.375</v>
      </c>
    </row>
    <row r="745" spans="1:10" x14ac:dyDescent="0.3">
      <c r="A745" s="10">
        <v>744</v>
      </c>
      <c r="B745" s="11">
        <v>0</v>
      </c>
      <c r="C745" s="11">
        <v>3</v>
      </c>
      <c r="D745" s="11" t="s">
        <v>1341</v>
      </c>
      <c r="E745" s="11" t="s">
        <v>11</v>
      </c>
      <c r="F745" s="11">
        <v>24</v>
      </c>
      <c r="G745" s="11">
        <v>1</v>
      </c>
      <c r="H745" s="11">
        <v>0</v>
      </c>
      <c r="I745" s="11" t="s">
        <v>1342</v>
      </c>
      <c r="J745" s="12">
        <v>16.100000000000001</v>
      </c>
    </row>
    <row r="746" spans="1:10" x14ac:dyDescent="0.3">
      <c r="A746" s="7">
        <v>745</v>
      </c>
      <c r="B746" s="8">
        <v>1</v>
      </c>
      <c r="C746" s="8">
        <v>3</v>
      </c>
      <c r="D746" s="8" t="s">
        <v>1343</v>
      </c>
      <c r="E746" s="8" t="s">
        <v>11</v>
      </c>
      <c r="F746" s="8">
        <v>31</v>
      </c>
      <c r="G746" s="8">
        <v>0</v>
      </c>
      <c r="H746" s="8">
        <v>0</v>
      </c>
      <c r="I746" s="8" t="s">
        <v>1344</v>
      </c>
      <c r="J746" s="9">
        <v>7.9249999999999998</v>
      </c>
    </row>
    <row r="747" spans="1:10" x14ac:dyDescent="0.3">
      <c r="A747" s="10">
        <v>746</v>
      </c>
      <c r="B747" s="11">
        <v>0</v>
      </c>
      <c r="C747" s="11">
        <v>1</v>
      </c>
      <c r="D747" s="11" t="s">
        <v>1345</v>
      </c>
      <c r="E747" s="11" t="s">
        <v>11</v>
      </c>
      <c r="F747" s="11">
        <v>70</v>
      </c>
      <c r="G747" s="11">
        <v>1</v>
      </c>
      <c r="H747" s="11">
        <v>1</v>
      </c>
      <c r="I747" s="11" t="s">
        <v>1004</v>
      </c>
      <c r="J747" s="12">
        <v>71</v>
      </c>
    </row>
    <row r="748" spans="1:10" x14ac:dyDescent="0.3">
      <c r="A748" s="7">
        <v>747</v>
      </c>
      <c r="B748" s="8">
        <v>0</v>
      </c>
      <c r="C748" s="8">
        <v>3</v>
      </c>
      <c r="D748" s="8" t="s">
        <v>1346</v>
      </c>
      <c r="E748" s="8" t="s">
        <v>11</v>
      </c>
      <c r="F748" s="8">
        <v>16</v>
      </c>
      <c r="G748" s="8">
        <v>1</v>
      </c>
      <c r="H748" s="8">
        <v>1</v>
      </c>
      <c r="I748" s="8" t="s">
        <v>540</v>
      </c>
      <c r="J748" s="9">
        <v>20.25</v>
      </c>
    </row>
    <row r="749" spans="1:10" x14ac:dyDescent="0.3">
      <c r="A749" s="10">
        <v>748</v>
      </c>
      <c r="B749" s="11">
        <v>1</v>
      </c>
      <c r="C749" s="11">
        <v>2</v>
      </c>
      <c r="D749" s="11" t="s">
        <v>1347</v>
      </c>
      <c r="E749" s="11" t="s">
        <v>14</v>
      </c>
      <c r="F749" s="11">
        <v>30</v>
      </c>
      <c r="G749" s="11">
        <v>0</v>
      </c>
      <c r="H749" s="11">
        <v>0</v>
      </c>
      <c r="I749" s="11" t="s">
        <v>1348</v>
      </c>
      <c r="J749" s="12">
        <v>13</v>
      </c>
    </row>
    <row r="750" spans="1:10" x14ac:dyDescent="0.3">
      <c r="A750" s="7">
        <v>749</v>
      </c>
      <c r="B750" s="8">
        <v>0</v>
      </c>
      <c r="C750" s="8">
        <v>1</v>
      </c>
      <c r="D750" s="8" t="s">
        <v>1349</v>
      </c>
      <c r="E750" s="8" t="s">
        <v>11</v>
      </c>
      <c r="F750" s="8">
        <v>19</v>
      </c>
      <c r="G750" s="8">
        <v>1</v>
      </c>
      <c r="H750" s="8">
        <v>0</v>
      </c>
      <c r="I750" s="8" t="s">
        <v>1350</v>
      </c>
      <c r="J750" s="9">
        <v>53.1</v>
      </c>
    </row>
    <row r="751" spans="1:10" x14ac:dyDescent="0.3">
      <c r="A751" s="10">
        <v>750</v>
      </c>
      <c r="B751" s="11">
        <v>0</v>
      </c>
      <c r="C751" s="11">
        <v>3</v>
      </c>
      <c r="D751" s="11" t="s">
        <v>1351</v>
      </c>
      <c r="E751" s="11" t="s">
        <v>11</v>
      </c>
      <c r="F751" s="11">
        <v>31</v>
      </c>
      <c r="G751" s="11">
        <v>0</v>
      </c>
      <c r="H751" s="11">
        <v>0</v>
      </c>
      <c r="I751" s="11" t="s">
        <v>1352</v>
      </c>
      <c r="J751" s="12">
        <v>7.75</v>
      </c>
    </row>
    <row r="752" spans="1:10" x14ac:dyDescent="0.3">
      <c r="A752" s="7">
        <v>751</v>
      </c>
      <c r="B752" s="8">
        <v>1</v>
      </c>
      <c r="C752" s="8">
        <v>2</v>
      </c>
      <c r="D752" s="8" t="s">
        <v>1353</v>
      </c>
      <c r="E752" s="8" t="s">
        <v>14</v>
      </c>
      <c r="F752" s="8">
        <v>4</v>
      </c>
      <c r="G752" s="8">
        <v>1</v>
      </c>
      <c r="H752" s="8">
        <v>1</v>
      </c>
      <c r="I752" s="8" t="s">
        <v>1354</v>
      </c>
      <c r="J752" s="9">
        <v>23</v>
      </c>
    </row>
    <row r="753" spans="1:10" x14ac:dyDescent="0.3">
      <c r="A753" s="10">
        <v>752</v>
      </c>
      <c r="B753" s="11">
        <v>1</v>
      </c>
      <c r="C753" s="11">
        <v>3</v>
      </c>
      <c r="D753" s="11" t="s">
        <v>1355</v>
      </c>
      <c r="E753" s="11" t="s">
        <v>11</v>
      </c>
      <c r="F753" s="11">
        <v>6</v>
      </c>
      <c r="G753" s="11">
        <v>0</v>
      </c>
      <c r="H753" s="11">
        <v>1</v>
      </c>
      <c r="I753" s="11" t="s">
        <v>1356</v>
      </c>
      <c r="J753" s="12">
        <v>12.475</v>
      </c>
    </row>
    <row r="754" spans="1:10" x14ac:dyDescent="0.3">
      <c r="A754" s="7">
        <v>753</v>
      </c>
      <c r="B754" s="8">
        <v>0</v>
      </c>
      <c r="C754" s="8">
        <v>3</v>
      </c>
      <c r="D754" s="8" t="s">
        <v>1357</v>
      </c>
      <c r="E754" s="8" t="s">
        <v>11</v>
      </c>
      <c r="F754" s="8">
        <v>33</v>
      </c>
      <c r="G754" s="8">
        <v>0</v>
      </c>
      <c r="H754" s="8">
        <v>0</v>
      </c>
      <c r="I754" s="8" t="s">
        <v>1358</v>
      </c>
      <c r="J754" s="9">
        <v>9.5</v>
      </c>
    </row>
    <row r="755" spans="1:10" x14ac:dyDescent="0.3">
      <c r="A755" s="10">
        <v>754</v>
      </c>
      <c r="B755" s="11">
        <v>0</v>
      </c>
      <c r="C755" s="11">
        <v>3</v>
      </c>
      <c r="D755" s="11" t="s">
        <v>1359</v>
      </c>
      <c r="E755" s="11" t="s">
        <v>11</v>
      </c>
      <c r="F755" s="11">
        <v>23</v>
      </c>
      <c r="G755" s="11">
        <v>0</v>
      </c>
      <c r="H755" s="11">
        <v>0</v>
      </c>
      <c r="I755" s="11" t="s">
        <v>1360</v>
      </c>
      <c r="J755" s="12">
        <v>7.8958000000000004</v>
      </c>
    </row>
    <row r="756" spans="1:10" x14ac:dyDescent="0.3">
      <c r="A756" s="7">
        <v>755</v>
      </c>
      <c r="B756" s="8">
        <v>1</v>
      </c>
      <c r="C756" s="8">
        <v>2</v>
      </c>
      <c r="D756" s="8" t="s">
        <v>1361</v>
      </c>
      <c r="E756" s="8" t="s">
        <v>14</v>
      </c>
      <c r="F756" s="8">
        <v>48</v>
      </c>
      <c r="G756" s="8">
        <v>1</v>
      </c>
      <c r="H756" s="8">
        <v>2</v>
      </c>
      <c r="I756" s="8" t="s">
        <v>1131</v>
      </c>
      <c r="J756" s="9">
        <v>65</v>
      </c>
    </row>
    <row r="757" spans="1:10" x14ac:dyDescent="0.3">
      <c r="A757" s="10">
        <v>756</v>
      </c>
      <c r="B757" s="11">
        <v>1</v>
      </c>
      <c r="C757" s="11">
        <v>2</v>
      </c>
      <c r="D757" s="11" t="s">
        <v>1362</v>
      </c>
      <c r="E757" s="11" t="s">
        <v>11</v>
      </c>
      <c r="F757" s="11">
        <v>0.67</v>
      </c>
      <c r="G757" s="11">
        <v>1</v>
      </c>
      <c r="H757" s="11">
        <v>1</v>
      </c>
      <c r="I757" s="11" t="s">
        <v>481</v>
      </c>
      <c r="J757" s="12">
        <v>14.5</v>
      </c>
    </row>
    <row r="758" spans="1:10" x14ac:dyDescent="0.3">
      <c r="A758" s="7">
        <v>757</v>
      </c>
      <c r="B758" s="8">
        <v>0</v>
      </c>
      <c r="C758" s="8">
        <v>3</v>
      </c>
      <c r="D758" s="8" t="s">
        <v>1363</v>
      </c>
      <c r="E758" s="8" t="s">
        <v>11</v>
      </c>
      <c r="F758" s="8">
        <v>28</v>
      </c>
      <c r="G758" s="8">
        <v>0</v>
      </c>
      <c r="H758" s="8">
        <v>0</v>
      </c>
      <c r="I758" s="8" t="s">
        <v>1364</v>
      </c>
      <c r="J758" s="9">
        <v>7.7957999999999998</v>
      </c>
    </row>
    <row r="759" spans="1:10" x14ac:dyDescent="0.3">
      <c r="A759" s="10">
        <v>758</v>
      </c>
      <c r="B759" s="11">
        <v>0</v>
      </c>
      <c r="C759" s="11">
        <v>2</v>
      </c>
      <c r="D759" s="11" t="s">
        <v>1365</v>
      </c>
      <c r="E759" s="11" t="s">
        <v>11</v>
      </c>
      <c r="F759" s="11">
        <v>18</v>
      </c>
      <c r="G759" s="11">
        <v>0</v>
      </c>
      <c r="H759" s="11">
        <v>0</v>
      </c>
      <c r="I759" s="11" t="s">
        <v>1366</v>
      </c>
      <c r="J759" s="12">
        <v>11.5</v>
      </c>
    </row>
    <row r="760" spans="1:10" x14ac:dyDescent="0.3">
      <c r="A760" s="7">
        <v>759</v>
      </c>
      <c r="B760" s="8">
        <v>0</v>
      </c>
      <c r="C760" s="8">
        <v>3</v>
      </c>
      <c r="D760" s="8" t="s">
        <v>1367</v>
      </c>
      <c r="E760" s="8" t="s">
        <v>11</v>
      </c>
      <c r="F760" s="8">
        <v>34</v>
      </c>
      <c r="G760" s="8">
        <v>0</v>
      </c>
      <c r="H760" s="8">
        <v>0</v>
      </c>
      <c r="I760" s="8" t="s">
        <v>1368</v>
      </c>
      <c r="J760" s="9">
        <v>8.0500000000000007</v>
      </c>
    </row>
    <row r="761" spans="1:10" x14ac:dyDescent="0.3">
      <c r="A761" s="10">
        <v>760</v>
      </c>
      <c r="B761" s="11">
        <v>1</v>
      </c>
      <c r="C761" s="11">
        <v>1</v>
      </c>
      <c r="D761" s="11" t="s">
        <v>1369</v>
      </c>
      <c r="E761" s="11" t="s">
        <v>14</v>
      </c>
      <c r="F761" s="11">
        <v>33</v>
      </c>
      <c r="G761" s="11">
        <v>0</v>
      </c>
      <c r="H761" s="11">
        <v>0</v>
      </c>
      <c r="I761" s="11" t="s">
        <v>500</v>
      </c>
      <c r="J761" s="12">
        <v>86.5</v>
      </c>
    </row>
    <row r="762" spans="1:10" x14ac:dyDescent="0.3">
      <c r="A762" s="7">
        <v>761</v>
      </c>
      <c r="B762" s="8">
        <v>0</v>
      </c>
      <c r="C762" s="8">
        <v>3</v>
      </c>
      <c r="D762" s="8" t="s">
        <v>1370</v>
      </c>
      <c r="E762" s="8" t="s">
        <v>11</v>
      </c>
      <c r="F762" s="8"/>
      <c r="G762" s="8">
        <v>0</v>
      </c>
      <c r="H762" s="8">
        <v>0</v>
      </c>
      <c r="I762" s="8" t="s">
        <v>1064</v>
      </c>
      <c r="J762" s="9">
        <v>14.5</v>
      </c>
    </row>
    <row r="763" spans="1:10" x14ac:dyDescent="0.3">
      <c r="A763" s="10">
        <v>762</v>
      </c>
      <c r="B763" s="11">
        <v>0</v>
      </c>
      <c r="C763" s="11">
        <v>3</v>
      </c>
      <c r="D763" s="11" t="s">
        <v>1371</v>
      </c>
      <c r="E763" s="11" t="s">
        <v>11</v>
      </c>
      <c r="F763" s="11">
        <v>41</v>
      </c>
      <c r="G763" s="11">
        <v>0</v>
      </c>
      <c r="H763" s="11">
        <v>0</v>
      </c>
      <c r="I763" s="11" t="s">
        <v>1372</v>
      </c>
      <c r="J763" s="12">
        <v>7.125</v>
      </c>
    </row>
    <row r="764" spans="1:10" x14ac:dyDescent="0.3">
      <c r="A764" s="7">
        <v>763</v>
      </c>
      <c r="B764" s="8">
        <v>1</v>
      </c>
      <c r="C764" s="8">
        <v>3</v>
      </c>
      <c r="D764" s="8" t="s">
        <v>1373</v>
      </c>
      <c r="E764" s="8" t="s">
        <v>11</v>
      </c>
      <c r="F764" s="8">
        <v>20</v>
      </c>
      <c r="G764" s="8">
        <v>0</v>
      </c>
      <c r="H764" s="8">
        <v>0</v>
      </c>
      <c r="I764" s="8" t="s">
        <v>1374</v>
      </c>
      <c r="J764" s="9">
        <v>7.2291999999999996</v>
      </c>
    </row>
    <row r="765" spans="1:10" x14ac:dyDescent="0.3">
      <c r="A765" s="10">
        <v>764</v>
      </c>
      <c r="B765" s="11">
        <v>1</v>
      </c>
      <c r="C765" s="11">
        <v>1</v>
      </c>
      <c r="D765" s="11" t="s">
        <v>1375</v>
      </c>
      <c r="E765" s="11" t="s">
        <v>14</v>
      </c>
      <c r="F765" s="11">
        <v>36</v>
      </c>
      <c r="G765" s="11">
        <v>1</v>
      </c>
      <c r="H765" s="11">
        <v>2</v>
      </c>
      <c r="I765" s="11" t="s">
        <v>737</v>
      </c>
      <c r="J765" s="12">
        <v>120</v>
      </c>
    </row>
    <row r="766" spans="1:10" x14ac:dyDescent="0.3">
      <c r="A766" s="7">
        <v>765</v>
      </c>
      <c r="B766" s="8">
        <v>0</v>
      </c>
      <c r="C766" s="8">
        <v>3</v>
      </c>
      <c r="D766" s="8" t="s">
        <v>1376</v>
      </c>
      <c r="E766" s="8" t="s">
        <v>11</v>
      </c>
      <c r="F766" s="8">
        <v>16</v>
      </c>
      <c r="G766" s="8">
        <v>0</v>
      </c>
      <c r="H766" s="8">
        <v>0</v>
      </c>
      <c r="I766" s="8" t="s">
        <v>1377</v>
      </c>
      <c r="J766" s="9">
        <v>7.7750000000000004</v>
      </c>
    </row>
    <row r="767" spans="1:10" x14ac:dyDescent="0.3">
      <c r="A767" s="10">
        <v>766</v>
      </c>
      <c r="B767" s="11">
        <v>1</v>
      </c>
      <c r="C767" s="11">
        <v>1</v>
      </c>
      <c r="D767" s="11" t="s">
        <v>1378</v>
      </c>
      <c r="E767" s="11" t="s">
        <v>14</v>
      </c>
      <c r="F767" s="11">
        <v>51</v>
      </c>
      <c r="G767" s="11">
        <v>1</v>
      </c>
      <c r="H767" s="11">
        <v>0</v>
      </c>
      <c r="I767" s="11" t="s">
        <v>533</v>
      </c>
      <c r="J767" s="12">
        <v>77.958299999999994</v>
      </c>
    </row>
    <row r="768" spans="1:10" x14ac:dyDescent="0.3">
      <c r="A768" s="7">
        <v>767</v>
      </c>
      <c r="B768" s="8">
        <v>0</v>
      </c>
      <c r="C768" s="8">
        <v>1</v>
      </c>
      <c r="D768" s="8" t="s">
        <v>1379</v>
      </c>
      <c r="E768" s="8" t="s">
        <v>11</v>
      </c>
      <c r="F768" s="8"/>
      <c r="G768" s="8">
        <v>0</v>
      </c>
      <c r="H768" s="8">
        <v>0</v>
      </c>
      <c r="I768" s="8" t="s">
        <v>1380</v>
      </c>
      <c r="J768" s="9">
        <v>39.6</v>
      </c>
    </row>
    <row r="769" spans="1:10" x14ac:dyDescent="0.3">
      <c r="A769" s="10">
        <v>768</v>
      </c>
      <c r="B769" s="11">
        <v>0</v>
      </c>
      <c r="C769" s="11">
        <v>3</v>
      </c>
      <c r="D769" s="11" t="s">
        <v>1381</v>
      </c>
      <c r="E769" s="11" t="s">
        <v>14</v>
      </c>
      <c r="F769" s="11">
        <v>30.5</v>
      </c>
      <c r="G769" s="11">
        <v>0</v>
      </c>
      <c r="H769" s="11">
        <v>0</v>
      </c>
      <c r="I769" s="11" t="s">
        <v>1382</v>
      </c>
      <c r="J769" s="12">
        <v>7.75</v>
      </c>
    </row>
    <row r="770" spans="1:10" x14ac:dyDescent="0.3">
      <c r="A770" s="7">
        <v>769</v>
      </c>
      <c r="B770" s="8">
        <v>0</v>
      </c>
      <c r="C770" s="8">
        <v>3</v>
      </c>
      <c r="D770" s="8" t="s">
        <v>1383</v>
      </c>
      <c r="E770" s="8" t="s">
        <v>11</v>
      </c>
      <c r="F770" s="8"/>
      <c r="G770" s="8">
        <v>1</v>
      </c>
      <c r="H770" s="8">
        <v>0</v>
      </c>
      <c r="I770" s="8" t="s">
        <v>228</v>
      </c>
      <c r="J770" s="9">
        <v>24.15</v>
      </c>
    </row>
    <row r="771" spans="1:10" x14ac:dyDescent="0.3">
      <c r="A771" s="10">
        <v>770</v>
      </c>
      <c r="B771" s="11">
        <v>0</v>
      </c>
      <c r="C771" s="11">
        <v>3</v>
      </c>
      <c r="D771" s="11" t="s">
        <v>1384</v>
      </c>
      <c r="E771" s="11" t="s">
        <v>11</v>
      </c>
      <c r="F771" s="11">
        <v>32</v>
      </c>
      <c r="G771" s="11">
        <v>0</v>
      </c>
      <c r="H771" s="11">
        <v>0</v>
      </c>
      <c r="I771" s="11" t="s">
        <v>1385</v>
      </c>
      <c r="J771" s="12">
        <v>8.3625000000000007</v>
      </c>
    </row>
    <row r="772" spans="1:10" x14ac:dyDescent="0.3">
      <c r="A772" s="7">
        <v>771</v>
      </c>
      <c r="B772" s="8">
        <v>0</v>
      </c>
      <c r="C772" s="8">
        <v>3</v>
      </c>
      <c r="D772" s="8" t="s">
        <v>1386</v>
      </c>
      <c r="E772" s="8" t="s">
        <v>11</v>
      </c>
      <c r="F772" s="8">
        <v>24</v>
      </c>
      <c r="G772" s="8">
        <v>0</v>
      </c>
      <c r="H772" s="8">
        <v>0</v>
      </c>
      <c r="I772" s="8" t="s">
        <v>1387</v>
      </c>
      <c r="J772" s="9">
        <v>9.5</v>
      </c>
    </row>
    <row r="773" spans="1:10" x14ac:dyDescent="0.3">
      <c r="A773" s="10">
        <v>772</v>
      </c>
      <c r="B773" s="11">
        <v>0</v>
      </c>
      <c r="C773" s="11">
        <v>3</v>
      </c>
      <c r="D773" s="11" t="s">
        <v>1388</v>
      </c>
      <c r="E773" s="11" t="s">
        <v>11</v>
      </c>
      <c r="F773" s="11">
        <v>48</v>
      </c>
      <c r="G773" s="11">
        <v>0</v>
      </c>
      <c r="H773" s="11">
        <v>0</v>
      </c>
      <c r="I773" s="11" t="s">
        <v>1389</v>
      </c>
      <c r="J773" s="12">
        <v>7.8541999999999996</v>
      </c>
    </row>
    <row r="774" spans="1:10" x14ac:dyDescent="0.3">
      <c r="A774" s="7">
        <v>773</v>
      </c>
      <c r="B774" s="8">
        <v>0</v>
      </c>
      <c r="C774" s="8">
        <v>2</v>
      </c>
      <c r="D774" s="8" t="s">
        <v>1390</v>
      </c>
      <c r="E774" s="8" t="s">
        <v>14</v>
      </c>
      <c r="F774" s="8">
        <v>57</v>
      </c>
      <c r="G774" s="8">
        <v>0</v>
      </c>
      <c r="H774" s="8">
        <v>0</v>
      </c>
      <c r="I774" s="8" t="s">
        <v>1391</v>
      </c>
      <c r="J774" s="9">
        <v>10.5</v>
      </c>
    </row>
    <row r="775" spans="1:10" x14ac:dyDescent="0.3">
      <c r="A775" s="10">
        <v>774</v>
      </c>
      <c r="B775" s="11">
        <v>0</v>
      </c>
      <c r="C775" s="11">
        <v>3</v>
      </c>
      <c r="D775" s="11" t="s">
        <v>1392</v>
      </c>
      <c r="E775" s="11" t="s">
        <v>11</v>
      </c>
      <c r="F775" s="11"/>
      <c r="G775" s="11">
        <v>0</v>
      </c>
      <c r="H775" s="11">
        <v>0</v>
      </c>
      <c r="I775" s="11" t="s">
        <v>1393</v>
      </c>
      <c r="J775" s="12">
        <v>7.2249999999999996</v>
      </c>
    </row>
    <row r="776" spans="1:10" x14ac:dyDescent="0.3">
      <c r="A776" s="7">
        <v>775</v>
      </c>
      <c r="B776" s="8">
        <v>1</v>
      </c>
      <c r="C776" s="8">
        <v>2</v>
      </c>
      <c r="D776" s="8" t="s">
        <v>1394</v>
      </c>
      <c r="E776" s="8" t="s">
        <v>14</v>
      </c>
      <c r="F776" s="8">
        <v>54</v>
      </c>
      <c r="G776" s="8">
        <v>1</v>
      </c>
      <c r="H776" s="8">
        <v>3</v>
      </c>
      <c r="I776" s="8" t="s">
        <v>1395</v>
      </c>
      <c r="J776" s="9">
        <v>23</v>
      </c>
    </row>
    <row r="777" spans="1:10" x14ac:dyDescent="0.3">
      <c r="A777" s="10">
        <v>776</v>
      </c>
      <c r="B777" s="11">
        <v>0</v>
      </c>
      <c r="C777" s="11">
        <v>3</v>
      </c>
      <c r="D777" s="11" t="s">
        <v>1396</v>
      </c>
      <c r="E777" s="11" t="s">
        <v>11</v>
      </c>
      <c r="F777" s="11">
        <v>18</v>
      </c>
      <c r="G777" s="11">
        <v>0</v>
      </c>
      <c r="H777" s="11">
        <v>0</v>
      </c>
      <c r="I777" s="11" t="s">
        <v>1397</v>
      </c>
      <c r="J777" s="12">
        <v>7.75</v>
      </c>
    </row>
    <row r="778" spans="1:10" x14ac:dyDescent="0.3">
      <c r="A778" s="7">
        <v>777</v>
      </c>
      <c r="B778" s="8">
        <v>0</v>
      </c>
      <c r="C778" s="8">
        <v>3</v>
      </c>
      <c r="D778" s="8" t="s">
        <v>1398</v>
      </c>
      <c r="E778" s="8" t="s">
        <v>11</v>
      </c>
      <c r="F778" s="8"/>
      <c r="G778" s="8">
        <v>0</v>
      </c>
      <c r="H778" s="8">
        <v>0</v>
      </c>
      <c r="I778" s="8" t="s">
        <v>1399</v>
      </c>
      <c r="J778" s="9">
        <v>7.75</v>
      </c>
    </row>
    <row r="779" spans="1:10" x14ac:dyDescent="0.3">
      <c r="A779" s="10">
        <v>778</v>
      </c>
      <c r="B779" s="11">
        <v>1</v>
      </c>
      <c r="C779" s="11">
        <v>3</v>
      </c>
      <c r="D779" s="11" t="s">
        <v>1400</v>
      </c>
      <c r="E779" s="11" t="s">
        <v>14</v>
      </c>
      <c r="F779" s="11">
        <v>5</v>
      </c>
      <c r="G779" s="11">
        <v>0</v>
      </c>
      <c r="H779" s="11">
        <v>0</v>
      </c>
      <c r="I779" s="11" t="s">
        <v>169</v>
      </c>
      <c r="J779" s="12">
        <v>12.475</v>
      </c>
    </row>
    <row r="780" spans="1:10" x14ac:dyDescent="0.3">
      <c r="A780" s="7">
        <v>779</v>
      </c>
      <c r="B780" s="8">
        <v>0</v>
      </c>
      <c r="C780" s="8">
        <v>3</v>
      </c>
      <c r="D780" s="8" t="s">
        <v>1401</v>
      </c>
      <c r="E780" s="8" t="s">
        <v>11</v>
      </c>
      <c r="F780" s="8"/>
      <c r="G780" s="8">
        <v>0</v>
      </c>
      <c r="H780" s="8">
        <v>0</v>
      </c>
      <c r="I780" s="8" t="s">
        <v>1402</v>
      </c>
      <c r="J780" s="9">
        <v>7.7374999999999998</v>
      </c>
    </row>
    <row r="781" spans="1:10" x14ac:dyDescent="0.3">
      <c r="A781" s="10">
        <v>780</v>
      </c>
      <c r="B781" s="11">
        <v>1</v>
      </c>
      <c r="C781" s="11">
        <v>1</v>
      </c>
      <c r="D781" s="11" t="s">
        <v>1403</v>
      </c>
      <c r="E781" s="11" t="s">
        <v>14</v>
      </c>
      <c r="F781" s="11">
        <v>43</v>
      </c>
      <c r="G781" s="11">
        <v>0</v>
      </c>
      <c r="H781" s="11">
        <v>1</v>
      </c>
      <c r="I781" s="11" t="s">
        <v>1252</v>
      </c>
      <c r="J781" s="12">
        <v>211.33750000000001</v>
      </c>
    </row>
    <row r="782" spans="1:10" x14ac:dyDescent="0.3">
      <c r="A782" s="7">
        <v>781</v>
      </c>
      <c r="B782" s="8">
        <v>1</v>
      </c>
      <c r="C782" s="8">
        <v>3</v>
      </c>
      <c r="D782" s="8" t="s">
        <v>1404</v>
      </c>
      <c r="E782" s="8" t="s">
        <v>14</v>
      </c>
      <c r="F782" s="8">
        <v>13</v>
      </c>
      <c r="G782" s="8">
        <v>0</v>
      </c>
      <c r="H782" s="8">
        <v>0</v>
      </c>
      <c r="I782" s="8" t="s">
        <v>1405</v>
      </c>
      <c r="J782" s="9">
        <v>7.2291999999999996</v>
      </c>
    </row>
    <row r="783" spans="1:10" x14ac:dyDescent="0.3">
      <c r="A783" s="10">
        <v>782</v>
      </c>
      <c r="B783" s="11">
        <v>1</v>
      </c>
      <c r="C783" s="11">
        <v>1</v>
      </c>
      <c r="D783" s="11" t="s">
        <v>1406</v>
      </c>
      <c r="E783" s="11" t="s">
        <v>14</v>
      </c>
      <c r="F783" s="11">
        <v>17</v>
      </c>
      <c r="G783" s="11">
        <v>1</v>
      </c>
      <c r="H783" s="11">
        <v>0</v>
      </c>
      <c r="I783" s="11" t="s">
        <v>1254</v>
      </c>
      <c r="J783" s="12">
        <v>57</v>
      </c>
    </row>
    <row r="784" spans="1:10" x14ac:dyDescent="0.3">
      <c r="A784" s="7">
        <v>783</v>
      </c>
      <c r="B784" s="8">
        <v>0</v>
      </c>
      <c r="C784" s="8">
        <v>1</v>
      </c>
      <c r="D784" s="8" t="s">
        <v>1407</v>
      </c>
      <c r="E784" s="8" t="s">
        <v>11</v>
      </c>
      <c r="F784" s="8">
        <v>29</v>
      </c>
      <c r="G784" s="8">
        <v>0</v>
      </c>
      <c r="H784" s="8">
        <v>0</v>
      </c>
      <c r="I784" s="8" t="s">
        <v>1408</v>
      </c>
      <c r="J784" s="9">
        <v>30</v>
      </c>
    </row>
    <row r="785" spans="1:10" x14ac:dyDescent="0.3">
      <c r="A785" s="10">
        <v>784</v>
      </c>
      <c r="B785" s="11">
        <v>0</v>
      </c>
      <c r="C785" s="11">
        <v>3</v>
      </c>
      <c r="D785" s="11" t="s">
        <v>1409</v>
      </c>
      <c r="E785" s="11" t="s">
        <v>11</v>
      </c>
      <c r="F785" s="11"/>
      <c r="G785" s="11">
        <v>1</v>
      </c>
      <c r="H785" s="11">
        <v>2</v>
      </c>
      <c r="I785" s="11" t="s">
        <v>1410</v>
      </c>
      <c r="J785" s="12">
        <v>23.45</v>
      </c>
    </row>
    <row r="786" spans="1:10" x14ac:dyDescent="0.3">
      <c r="A786" s="7">
        <v>785</v>
      </c>
      <c r="B786" s="8">
        <v>0</v>
      </c>
      <c r="C786" s="8">
        <v>3</v>
      </c>
      <c r="D786" s="8" t="s">
        <v>1411</v>
      </c>
      <c r="E786" s="8" t="s">
        <v>11</v>
      </c>
      <c r="F786" s="8">
        <v>25</v>
      </c>
      <c r="G786" s="8">
        <v>0</v>
      </c>
      <c r="H786" s="8">
        <v>0</v>
      </c>
      <c r="I786" s="8" t="s">
        <v>1412</v>
      </c>
      <c r="J786" s="9">
        <v>7.05</v>
      </c>
    </row>
    <row r="787" spans="1:10" x14ac:dyDescent="0.3">
      <c r="A787" s="10">
        <v>786</v>
      </c>
      <c r="B787" s="11">
        <v>0</v>
      </c>
      <c r="C787" s="11">
        <v>3</v>
      </c>
      <c r="D787" s="11" t="s">
        <v>1413</v>
      </c>
      <c r="E787" s="11" t="s">
        <v>11</v>
      </c>
      <c r="F787" s="11">
        <v>25</v>
      </c>
      <c r="G787" s="11">
        <v>0</v>
      </c>
      <c r="H787" s="11">
        <v>0</v>
      </c>
      <c r="I787" s="11" t="s">
        <v>1414</v>
      </c>
      <c r="J787" s="12">
        <v>7.25</v>
      </c>
    </row>
    <row r="788" spans="1:10" x14ac:dyDescent="0.3">
      <c r="A788" s="7">
        <v>787</v>
      </c>
      <c r="B788" s="8">
        <v>1</v>
      </c>
      <c r="C788" s="8">
        <v>3</v>
      </c>
      <c r="D788" s="8" t="s">
        <v>1415</v>
      </c>
      <c r="E788" s="8" t="s">
        <v>14</v>
      </c>
      <c r="F788" s="8">
        <v>18</v>
      </c>
      <c r="G788" s="8">
        <v>0</v>
      </c>
      <c r="H788" s="8">
        <v>0</v>
      </c>
      <c r="I788" s="8" t="s">
        <v>1416</v>
      </c>
      <c r="J788" s="9">
        <v>7.4958</v>
      </c>
    </row>
    <row r="789" spans="1:10" x14ac:dyDescent="0.3">
      <c r="A789" s="10">
        <v>788</v>
      </c>
      <c r="B789" s="11">
        <v>0</v>
      </c>
      <c r="C789" s="11">
        <v>3</v>
      </c>
      <c r="D789" s="11" t="s">
        <v>1417</v>
      </c>
      <c r="E789" s="11" t="s">
        <v>11</v>
      </c>
      <c r="F789" s="11">
        <v>8</v>
      </c>
      <c r="G789" s="11">
        <v>4</v>
      </c>
      <c r="H789" s="11">
        <v>1</v>
      </c>
      <c r="I789" s="11" t="s">
        <v>45</v>
      </c>
      <c r="J789" s="12">
        <v>29.125</v>
      </c>
    </row>
    <row r="790" spans="1:10" x14ac:dyDescent="0.3">
      <c r="A790" s="7">
        <v>789</v>
      </c>
      <c r="B790" s="8">
        <v>1</v>
      </c>
      <c r="C790" s="8">
        <v>3</v>
      </c>
      <c r="D790" s="8" t="s">
        <v>1418</v>
      </c>
      <c r="E790" s="8" t="s">
        <v>11</v>
      </c>
      <c r="F790" s="8">
        <v>1</v>
      </c>
      <c r="G790" s="8">
        <v>1</v>
      </c>
      <c r="H790" s="8">
        <v>2</v>
      </c>
      <c r="I790" s="8" t="s">
        <v>196</v>
      </c>
      <c r="J790" s="9">
        <v>20.574999999999999</v>
      </c>
    </row>
    <row r="791" spans="1:10" x14ac:dyDescent="0.3">
      <c r="A791" s="10">
        <v>790</v>
      </c>
      <c r="B791" s="11">
        <v>0</v>
      </c>
      <c r="C791" s="11">
        <v>1</v>
      </c>
      <c r="D791" s="11" t="s">
        <v>1419</v>
      </c>
      <c r="E791" s="11" t="s">
        <v>11</v>
      </c>
      <c r="F791" s="11">
        <v>46</v>
      </c>
      <c r="G791" s="11">
        <v>0</v>
      </c>
      <c r="H791" s="11">
        <v>0</v>
      </c>
      <c r="I791" s="11" t="s">
        <v>281</v>
      </c>
      <c r="J791" s="12">
        <v>79.2</v>
      </c>
    </row>
    <row r="792" spans="1:10" x14ac:dyDescent="0.3">
      <c r="A792" s="7">
        <v>791</v>
      </c>
      <c r="B792" s="8">
        <v>0</v>
      </c>
      <c r="C792" s="8">
        <v>3</v>
      </c>
      <c r="D792" s="8" t="s">
        <v>1420</v>
      </c>
      <c r="E792" s="8" t="s">
        <v>11</v>
      </c>
      <c r="F792" s="8"/>
      <c r="G792" s="8">
        <v>0</v>
      </c>
      <c r="H792" s="8">
        <v>0</v>
      </c>
      <c r="I792" s="8" t="s">
        <v>1421</v>
      </c>
      <c r="J792" s="9">
        <v>7.75</v>
      </c>
    </row>
    <row r="793" spans="1:10" x14ac:dyDescent="0.3">
      <c r="A793" s="10">
        <v>792</v>
      </c>
      <c r="B793" s="11">
        <v>0</v>
      </c>
      <c r="C793" s="11">
        <v>2</v>
      </c>
      <c r="D793" s="11" t="s">
        <v>1422</v>
      </c>
      <c r="E793" s="11" t="s">
        <v>11</v>
      </c>
      <c r="F793" s="11">
        <v>16</v>
      </c>
      <c r="G793" s="11">
        <v>0</v>
      </c>
      <c r="H793" s="11">
        <v>0</v>
      </c>
      <c r="I793" s="11" t="s">
        <v>53</v>
      </c>
      <c r="J793" s="12">
        <v>26</v>
      </c>
    </row>
    <row r="794" spans="1:10" x14ac:dyDescent="0.3">
      <c r="A794" s="7">
        <v>793</v>
      </c>
      <c r="B794" s="8">
        <v>0</v>
      </c>
      <c r="C794" s="8">
        <v>3</v>
      </c>
      <c r="D794" s="8" t="s">
        <v>1423</v>
      </c>
      <c r="E794" s="8" t="s">
        <v>14</v>
      </c>
      <c r="F794" s="8"/>
      <c r="G794" s="8">
        <v>8</v>
      </c>
      <c r="H794" s="8">
        <v>2</v>
      </c>
      <c r="I794" s="8" t="s">
        <v>320</v>
      </c>
      <c r="J794" s="9">
        <v>69.55</v>
      </c>
    </row>
    <row r="795" spans="1:10" x14ac:dyDescent="0.3">
      <c r="A795" s="10">
        <v>794</v>
      </c>
      <c r="B795" s="11">
        <v>0</v>
      </c>
      <c r="C795" s="11">
        <v>1</v>
      </c>
      <c r="D795" s="11" t="s">
        <v>1424</v>
      </c>
      <c r="E795" s="11" t="s">
        <v>11</v>
      </c>
      <c r="F795" s="11"/>
      <c r="G795" s="11">
        <v>0</v>
      </c>
      <c r="H795" s="11">
        <v>0</v>
      </c>
      <c r="I795" s="11" t="s">
        <v>1425</v>
      </c>
      <c r="J795" s="12">
        <v>30.695799999999998</v>
      </c>
    </row>
    <row r="796" spans="1:10" x14ac:dyDescent="0.3">
      <c r="A796" s="7">
        <v>795</v>
      </c>
      <c r="B796" s="8">
        <v>0</v>
      </c>
      <c r="C796" s="8">
        <v>3</v>
      </c>
      <c r="D796" s="8" t="s">
        <v>1426</v>
      </c>
      <c r="E796" s="8" t="s">
        <v>11</v>
      </c>
      <c r="F796" s="8">
        <v>25</v>
      </c>
      <c r="G796" s="8">
        <v>0</v>
      </c>
      <c r="H796" s="8">
        <v>0</v>
      </c>
      <c r="I796" s="8" t="s">
        <v>1427</v>
      </c>
      <c r="J796" s="9">
        <v>7.8958000000000004</v>
      </c>
    </row>
    <row r="797" spans="1:10" x14ac:dyDescent="0.3">
      <c r="A797" s="10">
        <v>796</v>
      </c>
      <c r="B797" s="11">
        <v>0</v>
      </c>
      <c r="C797" s="11">
        <v>2</v>
      </c>
      <c r="D797" s="11" t="s">
        <v>1428</v>
      </c>
      <c r="E797" s="11" t="s">
        <v>11</v>
      </c>
      <c r="F797" s="11">
        <v>39</v>
      </c>
      <c r="G797" s="11">
        <v>0</v>
      </c>
      <c r="H797" s="11">
        <v>0</v>
      </c>
      <c r="I797" s="11" t="s">
        <v>1429</v>
      </c>
      <c r="J797" s="12">
        <v>13</v>
      </c>
    </row>
    <row r="798" spans="1:10" x14ac:dyDescent="0.3">
      <c r="A798" s="7">
        <v>797</v>
      </c>
      <c r="B798" s="8">
        <v>1</v>
      </c>
      <c r="C798" s="8">
        <v>1</v>
      </c>
      <c r="D798" s="8" t="s">
        <v>1430</v>
      </c>
      <c r="E798" s="8" t="s">
        <v>14</v>
      </c>
      <c r="F798" s="8">
        <v>49</v>
      </c>
      <c r="G798" s="8">
        <v>0</v>
      </c>
      <c r="H798" s="8">
        <v>0</v>
      </c>
      <c r="I798" s="8" t="s">
        <v>1431</v>
      </c>
      <c r="J798" s="9">
        <v>25.929200000000002</v>
      </c>
    </row>
    <row r="799" spans="1:10" x14ac:dyDescent="0.3">
      <c r="A799" s="10">
        <v>798</v>
      </c>
      <c r="B799" s="11">
        <v>1</v>
      </c>
      <c r="C799" s="11">
        <v>3</v>
      </c>
      <c r="D799" s="11" t="s">
        <v>1432</v>
      </c>
      <c r="E799" s="11" t="s">
        <v>14</v>
      </c>
      <c r="F799" s="11">
        <v>31</v>
      </c>
      <c r="G799" s="11">
        <v>0</v>
      </c>
      <c r="H799" s="11">
        <v>0</v>
      </c>
      <c r="I799" s="11" t="s">
        <v>1433</v>
      </c>
      <c r="J799" s="12">
        <v>8.6832999999999991</v>
      </c>
    </row>
    <row r="800" spans="1:10" x14ac:dyDescent="0.3">
      <c r="A800" s="7">
        <v>799</v>
      </c>
      <c r="B800" s="8">
        <v>0</v>
      </c>
      <c r="C800" s="8">
        <v>3</v>
      </c>
      <c r="D800" s="8" t="s">
        <v>1434</v>
      </c>
      <c r="E800" s="8" t="s">
        <v>11</v>
      </c>
      <c r="F800" s="8">
        <v>30</v>
      </c>
      <c r="G800" s="8">
        <v>0</v>
      </c>
      <c r="H800" s="8">
        <v>0</v>
      </c>
      <c r="I800" s="8" t="s">
        <v>1435</v>
      </c>
      <c r="J800" s="9">
        <v>7.2291999999999996</v>
      </c>
    </row>
    <row r="801" spans="1:10" x14ac:dyDescent="0.3">
      <c r="A801" s="10">
        <v>800</v>
      </c>
      <c r="B801" s="11">
        <v>0</v>
      </c>
      <c r="C801" s="11">
        <v>3</v>
      </c>
      <c r="D801" s="11" t="s">
        <v>1436</v>
      </c>
      <c r="E801" s="11" t="s">
        <v>14</v>
      </c>
      <c r="F801" s="11">
        <v>30</v>
      </c>
      <c r="G801" s="11">
        <v>1</v>
      </c>
      <c r="H801" s="11">
        <v>1</v>
      </c>
      <c r="I801" s="11" t="s">
        <v>789</v>
      </c>
      <c r="J801" s="12">
        <v>24.15</v>
      </c>
    </row>
    <row r="802" spans="1:10" x14ac:dyDescent="0.3">
      <c r="A802" s="7">
        <v>801</v>
      </c>
      <c r="B802" s="8">
        <v>0</v>
      </c>
      <c r="C802" s="8">
        <v>2</v>
      </c>
      <c r="D802" s="8" t="s">
        <v>1437</v>
      </c>
      <c r="E802" s="8" t="s">
        <v>11</v>
      </c>
      <c r="F802" s="8">
        <v>34</v>
      </c>
      <c r="G802" s="8">
        <v>0</v>
      </c>
      <c r="H802" s="8">
        <v>0</v>
      </c>
      <c r="I802" s="8" t="s">
        <v>1294</v>
      </c>
      <c r="J802" s="9">
        <v>13</v>
      </c>
    </row>
    <row r="803" spans="1:10" x14ac:dyDescent="0.3">
      <c r="A803" s="10">
        <v>802</v>
      </c>
      <c r="B803" s="11">
        <v>1</v>
      </c>
      <c r="C803" s="11">
        <v>2</v>
      </c>
      <c r="D803" s="11" t="s">
        <v>1438</v>
      </c>
      <c r="E803" s="11" t="s">
        <v>14</v>
      </c>
      <c r="F803" s="11">
        <v>31</v>
      </c>
      <c r="G803" s="11">
        <v>1</v>
      </c>
      <c r="H803" s="11">
        <v>1</v>
      </c>
      <c r="I803" s="11" t="s">
        <v>462</v>
      </c>
      <c r="J803" s="12">
        <v>26.25</v>
      </c>
    </row>
    <row r="804" spans="1:10" x14ac:dyDescent="0.3">
      <c r="A804" s="7">
        <v>803</v>
      </c>
      <c r="B804" s="8">
        <v>1</v>
      </c>
      <c r="C804" s="8">
        <v>1</v>
      </c>
      <c r="D804" s="8" t="s">
        <v>1439</v>
      </c>
      <c r="E804" s="8" t="s">
        <v>11</v>
      </c>
      <c r="F804" s="8">
        <v>11</v>
      </c>
      <c r="G804" s="8">
        <v>1</v>
      </c>
      <c r="H804" s="8">
        <v>2</v>
      </c>
      <c r="I804" s="8" t="s">
        <v>737</v>
      </c>
      <c r="J804" s="9">
        <v>120</v>
      </c>
    </row>
    <row r="805" spans="1:10" x14ac:dyDescent="0.3">
      <c r="A805" s="10">
        <v>804</v>
      </c>
      <c r="B805" s="11">
        <v>1</v>
      </c>
      <c r="C805" s="11">
        <v>3</v>
      </c>
      <c r="D805" s="11" t="s">
        <v>1440</v>
      </c>
      <c r="E805" s="11" t="s">
        <v>11</v>
      </c>
      <c r="F805" s="11">
        <v>0.42</v>
      </c>
      <c r="G805" s="11">
        <v>0</v>
      </c>
      <c r="H805" s="11">
        <v>1</v>
      </c>
      <c r="I805" s="11" t="s">
        <v>1441</v>
      </c>
      <c r="J805" s="12">
        <v>8.5167000000000002</v>
      </c>
    </row>
    <row r="806" spans="1:10" x14ac:dyDescent="0.3">
      <c r="A806" s="7">
        <v>805</v>
      </c>
      <c r="B806" s="8">
        <v>1</v>
      </c>
      <c r="C806" s="8">
        <v>3</v>
      </c>
      <c r="D806" s="8" t="s">
        <v>1442</v>
      </c>
      <c r="E806" s="8" t="s">
        <v>11</v>
      </c>
      <c r="F806" s="8">
        <v>27</v>
      </c>
      <c r="G806" s="8">
        <v>0</v>
      </c>
      <c r="H806" s="8">
        <v>0</v>
      </c>
      <c r="I806" s="8" t="s">
        <v>1443</v>
      </c>
      <c r="J806" s="9">
        <v>6.9749999999999996</v>
      </c>
    </row>
    <row r="807" spans="1:10" x14ac:dyDescent="0.3">
      <c r="A807" s="10">
        <v>806</v>
      </c>
      <c r="B807" s="11">
        <v>0</v>
      </c>
      <c r="C807" s="11">
        <v>3</v>
      </c>
      <c r="D807" s="11" t="s">
        <v>1444</v>
      </c>
      <c r="E807" s="11" t="s">
        <v>11</v>
      </c>
      <c r="F807" s="11">
        <v>31</v>
      </c>
      <c r="G807" s="11">
        <v>0</v>
      </c>
      <c r="H807" s="11">
        <v>0</v>
      </c>
      <c r="I807" s="11" t="s">
        <v>1445</v>
      </c>
      <c r="J807" s="12">
        <v>7.7750000000000004</v>
      </c>
    </row>
    <row r="808" spans="1:10" x14ac:dyDescent="0.3">
      <c r="A808" s="7">
        <v>807</v>
      </c>
      <c r="B808" s="8">
        <v>0</v>
      </c>
      <c r="C808" s="8">
        <v>1</v>
      </c>
      <c r="D808" s="8" t="s">
        <v>1446</v>
      </c>
      <c r="E808" s="8" t="s">
        <v>11</v>
      </c>
      <c r="F808" s="8">
        <v>39</v>
      </c>
      <c r="G808" s="8">
        <v>0</v>
      </c>
      <c r="H808" s="8">
        <v>0</v>
      </c>
      <c r="I808" s="8" t="s">
        <v>1447</v>
      </c>
      <c r="J808" s="9">
        <v>0</v>
      </c>
    </row>
    <row r="809" spans="1:10" x14ac:dyDescent="0.3">
      <c r="A809" s="10">
        <v>808</v>
      </c>
      <c r="B809" s="11">
        <v>0</v>
      </c>
      <c r="C809" s="11">
        <v>3</v>
      </c>
      <c r="D809" s="11" t="s">
        <v>1448</v>
      </c>
      <c r="E809" s="11" t="s">
        <v>14</v>
      </c>
      <c r="F809" s="11">
        <v>18</v>
      </c>
      <c r="G809" s="11">
        <v>0</v>
      </c>
      <c r="H809" s="11">
        <v>0</v>
      </c>
      <c r="I809" s="11" t="s">
        <v>1449</v>
      </c>
      <c r="J809" s="12">
        <v>7.7750000000000004</v>
      </c>
    </row>
    <row r="810" spans="1:10" x14ac:dyDescent="0.3">
      <c r="A810" s="7">
        <v>809</v>
      </c>
      <c r="B810" s="8">
        <v>0</v>
      </c>
      <c r="C810" s="8">
        <v>2</v>
      </c>
      <c r="D810" s="8" t="s">
        <v>1450</v>
      </c>
      <c r="E810" s="8" t="s">
        <v>11</v>
      </c>
      <c r="F810" s="8">
        <v>39</v>
      </c>
      <c r="G810" s="8">
        <v>0</v>
      </c>
      <c r="H810" s="8">
        <v>0</v>
      </c>
      <c r="I810" s="8" t="s">
        <v>1451</v>
      </c>
      <c r="J810" s="9">
        <v>13</v>
      </c>
    </row>
    <row r="811" spans="1:10" x14ac:dyDescent="0.3">
      <c r="A811" s="10">
        <v>810</v>
      </c>
      <c r="B811" s="11">
        <v>1</v>
      </c>
      <c r="C811" s="11">
        <v>1</v>
      </c>
      <c r="D811" s="11" t="s">
        <v>1452</v>
      </c>
      <c r="E811" s="11" t="s">
        <v>14</v>
      </c>
      <c r="F811" s="11">
        <v>33</v>
      </c>
      <c r="G811" s="11">
        <v>1</v>
      </c>
      <c r="H811" s="11">
        <v>0</v>
      </c>
      <c r="I811" s="11" t="s">
        <v>1312</v>
      </c>
      <c r="J811" s="12">
        <v>53.1</v>
      </c>
    </row>
    <row r="812" spans="1:10" x14ac:dyDescent="0.3">
      <c r="A812" s="7">
        <v>811</v>
      </c>
      <c r="B812" s="8">
        <v>0</v>
      </c>
      <c r="C812" s="8">
        <v>3</v>
      </c>
      <c r="D812" s="8" t="s">
        <v>1453</v>
      </c>
      <c r="E812" s="8" t="s">
        <v>11</v>
      </c>
      <c r="F812" s="8">
        <v>26</v>
      </c>
      <c r="G812" s="8">
        <v>0</v>
      </c>
      <c r="H812" s="8">
        <v>0</v>
      </c>
      <c r="I812" s="8" t="s">
        <v>1454</v>
      </c>
      <c r="J812" s="9">
        <v>7.8875000000000002</v>
      </c>
    </row>
    <row r="813" spans="1:10" x14ac:dyDescent="0.3">
      <c r="A813" s="10">
        <v>812</v>
      </c>
      <c r="B813" s="11">
        <v>0</v>
      </c>
      <c r="C813" s="11">
        <v>3</v>
      </c>
      <c r="D813" s="11" t="s">
        <v>1455</v>
      </c>
      <c r="E813" s="11" t="s">
        <v>11</v>
      </c>
      <c r="F813" s="11">
        <v>39</v>
      </c>
      <c r="G813" s="11">
        <v>0</v>
      </c>
      <c r="H813" s="11">
        <v>0</v>
      </c>
      <c r="I813" s="11" t="s">
        <v>1045</v>
      </c>
      <c r="J813" s="12">
        <v>24.15</v>
      </c>
    </row>
    <row r="814" spans="1:10" x14ac:dyDescent="0.3">
      <c r="A814" s="7">
        <v>813</v>
      </c>
      <c r="B814" s="8">
        <v>0</v>
      </c>
      <c r="C814" s="8">
        <v>2</v>
      </c>
      <c r="D814" s="8" t="s">
        <v>1456</v>
      </c>
      <c r="E814" s="8" t="s">
        <v>11</v>
      </c>
      <c r="F814" s="8">
        <v>35</v>
      </c>
      <c r="G814" s="8">
        <v>0</v>
      </c>
      <c r="H814" s="8">
        <v>0</v>
      </c>
      <c r="I814" s="8" t="s">
        <v>1457</v>
      </c>
      <c r="J814" s="9">
        <v>10.5</v>
      </c>
    </row>
    <row r="815" spans="1:10" x14ac:dyDescent="0.3">
      <c r="A815" s="10">
        <v>814</v>
      </c>
      <c r="B815" s="11">
        <v>0</v>
      </c>
      <c r="C815" s="11">
        <v>3</v>
      </c>
      <c r="D815" s="11" t="s">
        <v>1458</v>
      </c>
      <c r="E815" s="11" t="s">
        <v>14</v>
      </c>
      <c r="F815" s="11">
        <v>6</v>
      </c>
      <c r="G815" s="11">
        <v>4</v>
      </c>
      <c r="H815" s="11">
        <v>2</v>
      </c>
      <c r="I815" s="11" t="s">
        <v>39</v>
      </c>
      <c r="J815" s="12">
        <v>31.274999999999999</v>
      </c>
    </row>
    <row r="816" spans="1:10" x14ac:dyDescent="0.3">
      <c r="A816" s="7">
        <v>815</v>
      </c>
      <c r="B816" s="8">
        <v>0</v>
      </c>
      <c r="C816" s="8">
        <v>3</v>
      </c>
      <c r="D816" s="8" t="s">
        <v>1459</v>
      </c>
      <c r="E816" s="8" t="s">
        <v>11</v>
      </c>
      <c r="F816" s="8">
        <v>30.5</v>
      </c>
      <c r="G816" s="8">
        <v>0</v>
      </c>
      <c r="H816" s="8">
        <v>0</v>
      </c>
      <c r="I816" s="8" t="s">
        <v>1460</v>
      </c>
      <c r="J816" s="9">
        <v>8.0500000000000007</v>
      </c>
    </row>
    <row r="817" spans="1:10" x14ac:dyDescent="0.3">
      <c r="A817" s="10">
        <v>816</v>
      </c>
      <c r="B817" s="11">
        <v>0</v>
      </c>
      <c r="C817" s="11">
        <v>1</v>
      </c>
      <c r="D817" s="11" t="s">
        <v>1461</v>
      </c>
      <c r="E817" s="11" t="s">
        <v>11</v>
      </c>
      <c r="F817" s="11"/>
      <c r="G817" s="11">
        <v>0</v>
      </c>
      <c r="H817" s="11">
        <v>0</v>
      </c>
      <c r="I817" s="11" t="s">
        <v>1462</v>
      </c>
      <c r="J817" s="12">
        <v>0</v>
      </c>
    </row>
    <row r="818" spans="1:10" x14ac:dyDescent="0.3">
      <c r="A818" s="7">
        <v>817</v>
      </c>
      <c r="B818" s="8">
        <v>0</v>
      </c>
      <c r="C818" s="8">
        <v>3</v>
      </c>
      <c r="D818" s="8" t="s">
        <v>1463</v>
      </c>
      <c r="E818" s="8" t="s">
        <v>14</v>
      </c>
      <c r="F818" s="8">
        <v>23</v>
      </c>
      <c r="G818" s="8">
        <v>0</v>
      </c>
      <c r="H818" s="8">
        <v>0</v>
      </c>
      <c r="I818" s="8" t="s">
        <v>1464</v>
      </c>
      <c r="J818" s="9">
        <v>7.9249999999999998</v>
      </c>
    </row>
    <row r="819" spans="1:10" x14ac:dyDescent="0.3">
      <c r="A819" s="10">
        <v>818</v>
      </c>
      <c r="B819" s="11">
        <v>0</v>
      </c>
      <c r="C819" s="11">
        <v>2</v>
      </c>
      <c r="D819" s="11" t="s">
        <v>1465</v>
      </c>
      <c r="E819" s="11" t="s">
        <v>11</v>
      </c>
      <c r="F819" s="11">
        <v>31</v>
      </c>
      <c r="G819" s="11">
        <v>1</v>
      </c>
      <c r="H819" s="11">
        <v>1</v>
      </c>
      <c r="I819" s="11" t="s">
        <v>1466</v>
      </c>
      <c r="J819" s="12">
        <v>37.004199999999997</v>
      </c>
    </row>
    <row r="820" spans="1:10" x14ac:dyDescent="0.3">
      <c r="A820" s="7">
        <v>819</v>
      </c>
      <c r="B820" s="8">
        <v>0</v>
      </c>
      <c r="C820" s="8">
        <v>3</v>
      </c>
      <c r="D820" s="8" t="s">
        <v>1467</v>
      </c>
      <c r="E820" s="8" t="s">
        <v>11</v>
      </c>
      <c r="F820" s="8">
        <v>43</v>
      </c>
      <c r="G820" s="8">
        <v>0</v>
      </c>
      <c r="H820" s="8">
        <v>0</v>
      </c>
      <c r="I820" s="8" t="s">
        <v>1468</v>
      </c>
      <c r="J820" s="9">
        <v>6.45</v>
      </c>
    </row>
    <row r="821" spans="1:10" x14ac:dyDescent="0.3">
      <c r="A821" s="10">
        <v>820</v>
      </c>
      <c r="B821" s="11">
        <v>0</v>
      </c>
      <c r="C821" s="11">
        <v>3</v>
      </c>
      <c r="D821" s="11" t="s">
        <v>1469</v>
      </c>
      <c r="E821" s="11" t="s">
        <v>11</v>
      </c>
      <c r="F821" s="11">
        <v>10</v>
      </c>
      <c r="G821" s="11">
        <v>3</v>
      </c>
      <c r="H821" s="11">
        <v>2</v>
      </c>
      <c r="I821" s="11" t="s">
        <v>138</v>
      </c>
      <c r="J821" s="12">
        <v>27.9</v>
      </c>
    </row>
    <row r="822" spans="1:10" x14ac:dyDescent="0.3">
      <c r="A822" s="7">
        <v>821</v>
      </c>
      <c r="B822" s="8">
        <v>1</v>
      </c>
      <c r="C822" s="8">
        <v>1</v>
      </c>
      <c r="D822" s="8" t="s">
        <v>1470</v>
      </c>
      <c r="E822" s="8" t="s">
        <v>14</v>
      </c>
      <c r="F822" s="8">
        <v>52</v>
      </c>
      <c r="G822" s="8">
        <v>1</v>
      </c>
      <c r="H822" s="8">
        <v>1</v>
      </c>
      <c r="I822" s="8" t="s">
        <v>968</v>
      </c>
      <c r="J822" s="9">
        <v>93.5</v>
      </c>
    </row>
    <row r="823" spans="1:10" x14ac:dyDescent="0.3">
      <c r="A823" s="10">
        <v>822</v>
      </c>
      <c r="B823" s="11">
        <v>1</v>
      </c>
      <c r="C823" s="11">
        <v>3</v>
      </c>
      <c r="D823" s="11" t="s">
        <v>1471</v>
      </c>
      <c r="E823" s="11" t="s">
        <v>11</v>
      </c>
      <c r="F823" s="11">
        <v>27</v>
      </c>
      <c r="G823" s="11">
        <v>0</v>
      </c>
      <c r="H823" s="11">
        <v>0</v>
      </c>
      <c r="I823" s="11" t="s">
        <v>1472</v>
      </c>
      <c r="J823" s="12">
        <v>8.6624999999999996</v>
      </c>
    </row>
    <row r="824" spans="1:10" x14ac:dyDescent="0.3">
      <c r="A824" s="7">
        <v>823</v>
      </c>
      <c r="B824" s="8">
        <v>0</v>
      </c>
      <c r="C824" s="8">
        <v>1</v>
      </c>
      <c r="D824" s="8" t="s">
        <v>1473</v>
      </c>
      <c r="E824" s="8" t="s">
        <v>11</v>
      </c>
      <c r="F824" s="8">
        <v>38</v>
      </c>
      <c r="G824" s="8">
        <v>0</v>
      </c>
      <c r="H824" s="8">
        <v>0</v>
      </c>
      <c r="I824" s="8" t="s">
        <v>1474</v>
      </c>
      <c r="J824" s="9">
        <v>0</v>
      </c>
    </row>
    <row r="825" spans="1:10" x14ac:dyDescent="0.3">
      <c r="A825" s="10">
        <v>824</v>
      </c>
      <c r="B825" s="11">
        <v>1</v>
      </c>
      <c r="C825" s="11">
        <v>3</v>
      </c>
      <c r="D825" s="11" t="s">
        <v>1475</v>
      </c>
      <c r="E825" s="11" t="s">
        <v>14</v>
      </c>
      <c r="F825" s="11">
        <v>27</v>
      </c>
      <c r="G825" s="11">
        <v>0</v>
      </c>
      <c r="H825" s="11">
        <v>1</v>
      </c>
      <c r="I825" s="11" t="s">
        <v>1356</v>
      </c>
      <c r="J825" s="12">
        <v>12.475</v>
      </c>
    </row>
    <row r="826" spans="1:10" x14ac:dyDescent="0.3">
      <c r="A826" s="7">
        <v>825</v>
      </c>
      <c r="B826" s="8">
        <v>0</v>
      </c>
      <c r="C826" s="8">
        <v>3</v>
      </c>
      <c r="D826" s="8" t="s">
        <v>1476</v>
      </c>
      <c r="E826" s="8" t="s">
        <v>11</v>
      </c>
      <c r="F826" s="8">
        <v>2</v>
      </c>
      <c r="G826" s="8">
        <v>4</v>
      </c>
      <c r="H826" s="8">
        <v>1</v>
      </c>
      <c r="I826" s="8" t="s">
        <v>112</v>
      </c>
      <c r="J826" s="9">
        <v>39.6875</v>
      </c>
    </row>
    <row r="827" spans="1:10" x14ac:dyDescent="0.3">
      <c r="A827" s="10">
        <v>826</v>
      </c>
      <c r="B827" s="11">
        <v>0</v>
      </c>
      <c r="C827" s="11">
        <v>3</v>
      </c>
      <c r="D827" s="11" t="s">
        <v>1477</v>
      </c>
      <c r="E827" s="11" t="s">
        <v>11</v>
      </c>
      <c r="F827" s="11"/>
      <c r="G827" s="11">
        <v>0</v>
      </c>
      <c r="H827" s="11">
        <v>0</v>
      </c>
      <c r="I827" s="11" t="s">
        <v>1478</v>
      </c>
      <c r="J827" s="12">
        <v>6.95</v>
      </c>
    </row>
    <row r="828" spans="1:10" x14ac:dyDescent="0.3">
      <c r="A828" s="7">
        <v>827</v>
      </c>
      <c r="B828" s="8">
        <v>0</v>
      </c>
      <c r="C828" s="8">
        <v>3</v>
      </c>
      <c r="D828" s="8" t="s">
        <v>1479</v>
      </c>
      <c r="E828" s="8" t="s">
        <v>11</v>
      </c>
      <c r="F828" s="8"/>
      <c r="G828" s="8">
        <v>0</v>
      </c>
      <c r="H828" s="8">
        <v>0</v>
      </c>
      <c r="I828" s="8" t="s">
        <v>159</v>
      </c>
      <c r="J828" s="9">
        <v>56.495800000000003</v>
      </c>
    </row>
    <row r="829" spans="1:10" x14ac:dyDescent="0.3">
      <c r="A829" s="10">
        <v>828</v>
      </c>
      <c r="B829" s="11">
        <v>1</v>
      </c>
      <c r="C829" s="11">
        <v>2</v>
      </c>
      <c r="D829" s="11" t="s">
        <v>1480</v>
      </c>
      <c r="E829" s="11" t="s">
        <v>11</v>
      </c>
      <c r="F829" s="11">
        <v>1</v>
      </c>
      <c r="G829" s="11">
        <v>0</v>
      </c>
      <c r="H829" s="11">
        <v>2</v>
      </c>
      <c r="I829" s="11" t="s">
        <v>1466</v>
      </c>
      <c r="J829" s="12">
        <v>37.004199999999997</v>
      </c>
    </row>
    <row r="830" spans="1:10" x14ac:dyDescent="0.3">
      <c r="A830" s="7">
        <v>829</v>
      </c>
      <c r="B830" s="8">
        <v>1</v>
      </c>
      <c r="C830" s="8">
        <v>3</v>
      </c>
      <c r="D830" s="8" t="s">
        <v>1481</v>
      </c>
      <c r="E830" s="8" t="s">
        <v>11</v>
      </c>
      <c r="F830" s="8"/>
      <c r="G830" s="8">
        <v>0</v>
      </c>
      <c r="H830" s="8">
        <v>0</v>
      </c>
      <c r="I830" s="8" t="s">
        <v>1482</v>
      </c>
      <c r="J830" s="9">
        <v>7.75</v>
      </c>
    </row>
    <row r="831" spans="1:10" x14ac:dyDescent="0.3">
      <c r="A831" s="10">
        <v>830</v>
      </c>
      <c r="B831" s="11">
        <v>1</v>
      </c>
      <c r="C831" s="11">
        <v>1</v>
      </c>
      <c r="D831" s="11" t="s">
        <v>1483</v>
      </c>
      <c r="E831" s="11" t="s">
        <v>14</v>
      </c>
      <c r="F831" s="11">
        <v>62</v>
      </c>
      <c r="G831" s="11">
        <v>0</v>
      </c>
      <c r="H831" s="11">
        <v>0</v>
      </c>
      <c r="I831" s="11" t="s">
        <v>134</v>
      </c>
      <c r="J831" s="12">
        <v>80</v>
      </c>
    </row>
    <row r="832" spans="1:10" x14ac:dyDescent="0.3">
      <c r="A832" s="7">
        <v>831</v>
      </c>
      <c r="B832" s="8">
        <v>1</v>
      </c>
      <c r="C832" s="8">
        <v>3</v>
      </c>
      <c r="D832" s="8" t="s">
        <v>1484</v>
      </c>
      <c r="E832" s="8" t="s">
        <v>14</v>
      </c>
      <c r="F832" s="8">
        <v>15</v>
      </c>
      <c r="G832" s="8">
        <v>1</v>
      </c>
      <c r="H832" s="8">
        <v>0</v>
      </c>
      <c r="I832" s="8" t="s">
        <v>1138</v>
      </c>
      <c r="J832" s="9">
        <v>14.4542</v>
      </c>
    </row>
    <row r="833" spans="1:10" x14ac:dyDescent="0.3">
      <c r="A833" s="10">
        <v>832</v>
      </c>
      <c r="B833" s="11">
        <v>1</v>
      </c>
      <c r="C833" s="11">
        <v>2</v>
      </c>
      <c r="D833" s="11" t="s">
        <v>1485</v>
      </c>
      <c r="E833" s="11" t="s">
        <v>11</v>
      </c>
      <c r="F833" s="11">
        <v>0.83</v>
      </c>
      <c r="G833" s="11">
        <v>1</v>
      </c>
      <c r="H833" s="11">
        <v>1</v>
      </c>
      <c r="I833" s="11" t="s">
        <v>768</v>
      </c>
      <c r="J833" s="12">
        <v>18.75</v>
      </c>
    </row>
    <row r="834" spans="1:10" x14ac:dyDescent="0.3">
      <c r="A834" s="7">
        <v>833</v>
      </c>
      <c r="B834" s="8">
        <v>0</v>
      </c>
      <c r="C834" s="8">
        <v>3</v>
      </c>
      <c r="D834" s="8" t="s">
        <v>1486</v>
      </c>
      <c r="E834" s="8" t="s">
        <v>11</v>
      </c>
      <c r="F834" s="8"/>
      <c r="G834" s="8">
        <v>0</v>
      </c>
      <c r="H834" s="8">
        <v>0</v>
      </c>
      <c r="I834" s="8" t="s">
        <v>1487</v>
      </c>
      <c r="J834" s="9">
        <v>7.2291999999999996</v>
      </c>
    </row>
    <row r="835" spans="1:10" x14ac:dyDescent="0.3">
      <c r="A835" s="10">
        <v>834</v>
      </c>
      <c r="B835" s="11">
        <v>0</v>
      </c>
      <c r="C835" s="11">
        <v>3</v>
      </c>
      <c r="D835" s="11" t="s">
        <v>1488</v>
      </c>
      <c r="E835" s="11" t="s">
        <v>11</v>
      </c>
      <c r="F835" s="11">
        <v>23</v>
      </c>
      <c r="G835" s="11">
        <v>0</v>
      </c>
      <c r="H835" s="11">
        <v>0</v>
      </c>
      <c r="I835" s="11" t="s">
        <v>1489</v>
      </c>
      <c r="J835" s="12">
        <v>7.8541999999999996</v>
      </c>
    </row>
    <row r="836" spans="1:10" x14ac:dyDescent="0.3">
      <c r="A836" s="7">
        <v>835</v>
      </c>
      <c r="B836" s="8">
        <v>0</v>
      </c>
      <c r="C836" s="8">
        <v>3</v>
      </c>
      <c r="D836" s="8" t="s">
        <v>1490</v>
      </c>
      <c r="E836" s="8" t="s">
        <v>11</v>
      </c>
      <c r="F836" s="8">
        <v>18</v>
      </c>
      <c r="G836" s="8">
        <v>0</v>
      </c>
      <c r="H836" s="8">
        <v>0</v>
      </c>
      <c r="I836" s="8" t="s">
        <v>1491</v>
      </c>
      <c r="J836" s="9">
        <v>8.3000000000000007</v>
      </c>
    </row>
    <row r="837" spans="1:10" x14ac:dyDescent="0.3">
      <c r="A837" s="10">
        <v>836</v>
      </c>
      <c r="B837" s="11">
        <v>1</v>
      </c>
      <c r="C837" s="11">
        <v>1</v>
      </c>
      <c r="D837" s="11" t="s">
        <v>1492</v>
      </c>
      <c r="E837" s="11" t="s">
        <v>14</v>
      </c>
      <c r="F837" s="11">
        <v>39</v>
      </c>
      <c r="G837" s="11">
        <v>1</v>
      </c>
      <c r="H837" s="11">
        <v>1</v>
      </c>
      <c r="I837" s="11" t="s">
        <v>1493</v>
      </c>
      <c r="J837" s="12">
        <v>83.158299999999997</v>
      </c>
    </row>
    <row r="838" spans="1:10" x14ac:dyDescent="0.3">
      <c r="A838" s="7">
        <v>837</v>
      </c>
      <c r="B838" s="8">
        <v>0</v>
      </c>
      <c r="C838" s="8">
        <v>3</v>
      </c>
      <c r="D838" s="8" t="s">
        <v>1494</v>
      </c>
      <c r="E838" s="8" t="s">
        <v>11</v>
      </c>
      <c r="F838" s="8">
        <v>21</v>
      </c>
      <c r="G838" s="8">
        <v>0</v>
      </c>
      <c r="H838" s="8">
        <v>0</v>
      </c>
      <c r="I838" s="8" t="s">
        <v>1495</v>
      </c>
      <c r="J838" s="9">
        <v>8.6624999999999996</v>
      </c>
    </row>
    <row r="839" spans="1:10" x14ac:dyDescent="0.3">
      <c r="A839" s="10">
        <v>838</v>
      </c>
      <c r="B839" s="11">
        <v>0</v>
      </c>
      <c r="C839" s="11">
        <v>3</v>
      </c>
      <c r="D839" s="11" t="s">
        <v>1496</v>
      </c>
      <c r="E839" s="11" t="s">
        <v>11</v>
      </c>
      <c r="F839" s="11"/>
      <c r="G839" s="11">
        <v>0</v>
      </c>
      <c r="H839" s="11">
        <v>0</v>
      </c>
      <c r="I839" s="11" t="s">
        <v>1497</v>
      </c>
      <c r="J839" s="12">
        <v>8.0500000000000007</v>
      </c>
    </row>
    <row r="840" spans="1:10" x14ac:dyDescent="0.3">
      <c r="A840" s="7">
        <v>839</v>
      </c>
      <c r="B840" s="8">
        <v>1</v>
      </c>
      <c r="C840" s="8">
        <v>3</v>
      </c>
      <c r="D840" s="8" t="s">
        <v>1498</v>
      </c>
      <c r="E840" s="8" t="s">
        <v>11</v>
      </c>
      <c r="F840" s="8">
        <v>32</v>
      </c>
      <c r="G840" s="8">
        <v>0</v>
      </c>
      <c r="H840" s="8">
        <v>0</v>
      </c>
      <c r="I840" s="8" t="s">
        <v>159</v>
      </c>
      <c r="J840" s="9">
        <v>56.495800000000003</v>
      </c>
    </row>
    <row r="841" spans="1:10" x14ac:dyDescent="0.3">
      <c r="A841" s="10">
        <v>840</v>
      </c>
      <c r="B841" s="11">
        <v>1</v>
      </c>
      <c r="C841" s="11">
        <v>1</v>
      </c>
      <c r="D841" s="11" t="s">
        <v>1499</v>
      </c>
      <c r="E841" s="11" t="s">
        <v>11</v>
      </c>
      <c r="F841" s="11"/>
      <c r="G841" s="11">
        <v>0</v>
      </c>
      <c r="H841" s="11">
        <v>0</v>
      </c>
      <c r="I841" s="11" t="s">
        <v>1500</v>
      </c>
      <c r="J841" s="12">
        <v>29.7</v>
      </c>
    </row>
    <row r="842" spans="1:10" x14ac:dyDescent="0.3">
      <c r="A842" s="7">
        <v>841</v>
      </c>
      <c r="B842" s="8">
        <v>0</v>
      </c>
      <c r="C842" s="8">
        <v>3</v>
      </c>
      <c r="D842" s="8" t="s">
        <v>1501</v>
      </c>
      <c r="E842" s="8" t="s">
        <v>11</v>
      </c>
      <c r="F842" s="8">
        <v>20</v>
      </c>
      <c r="G842" s="8">
        <v>0</v>
      </c>
      <c r="H842" s="8">
        <v>0</v>
      </c>
      <c r="I842" s="8" t="s">
        <v>1502</v>
      </c>
      <c r="J842" s="9">
        <v>7.9249999999999998</v>
      </c>
    </row>
    <row r="843" spans="1:10" x14ac:dyDescent="0.3">
      <c r="A843" s="10">
        <v>842</v>
      </c>
      <c r="B843" s="11">
        <v>0</v>
      </c>
      <c r="C843" s="11">
        <v>2</v>
      </c>
      <c r="D843" s="11" t="s">
        <v>1503</v>
      </c>
      <c r="E843" s="11" t="s">
        <v>11</v>
      </c>
      <c r="F843" s="11">
        <v>16</v>
      </c>
      <c r="G843" s="11">
        <v>0</v>
      </c>
      <c r="H843" s="11">
        <v>0</v>
      </c>
      <c r="I843" s="11" t="s">
        <v>1391</v>
      </c>
      <c r="J843" s="12">
        <v>10.5</v>
      </c>
    </row>
    <row r="844" spans="1:10" x14ac:dyDescent="0.3">
      <c r="A844" s="7">
        <v>843</v>
      </c>
      <c r="B844" s="8">
        <v>1</v>
      </c>
      <c r="C844" s="8">
        <v>1</v>
      </c>
      <c r="D844" s="8" t="s">
        <v>1504</v>
      </c>
      <c r="E844" s="8" t="s">
        <v>14</v>
      </c>
      <c r="F844" s="8">
        <v>30</v>
      </c>
      <c r="G844" s="8">
        <v>0</v>
      </c>
      <c r="H844" s="8">
        <v>0</v>
      </c>
      <c r="I844" s="8" t="s">
        <v>524</v>
      </c>
      <c r="J844" s="9">
        <v>31</v>
      </c>
    </row>
    <row r="845" spans="1:10" x14ac:dyDescent="0.3">
      <c r="A845" s="10">
        <v>844</v>
      </c>
      <c r="B845" s="11">
        <v>0</v>
      </c>
      <c r="C845" s="11">
        <v>3</v>
      </c>
      <c r="D845" s="11" t="s">
        <v>1505</v>
      </c>
      <c r="E845" s="11" t="s">
        <v>11</v>
      </c>
      <c r="F845" s="11">
        <v>34.5</v>
      </c>
      <c r="G845" s="11">
        <v>0</v>
      </c>
      <c r="H845" s="11">
        <v>0</v>
      </c>
      <c r="I845" s="11" t="s">
        <v>1506</v>
      </c>
      <c r="J845" s="12">
        <v>6.4375</v>
      </c>
    </row>
    <row r="846" spans="1:10" x14ac:dyDescent="0.3">
      <c r="A846" s="7">
        <v>845</v>
      </c>
      <c r="B846" s="8">
        <v>0</v>
      </c>
      <c r="C846" s="8">
        <v>3</v>
      </c>
      <c r="D846" s="8" t="s">
        <v>1507</v>
      </c>
      <c r="E846" s="8" t="s">
        <v>11</v>
      </c>
      <c r="F846" s="8">
        <v>17</v>
      </c>
      <c r="G846" s="8">
        <v>0</v>
      </c>
      <c r="H846" s="8">
        <v>0</v>
      </c>
      <c r="I846" s="8" t="s">
        <v>1508</v>
      </c>
      <c r="J846" s="9">
        <v>8.6624999999999996</v>
      </c>
    </row>
    <row r="847" spans="1:10" x14ac:dyDescent="0.3">
      <c r="A847" s="10">
        <v>846</v>
      </c>
      <c r="B847" s="11">
        <v>0</v>
      </c>
      <c r="C847" s="11">
        <v>3</v>
      </c>
      <c r="D847" s="11" t="s">
        <v>1509</v>
      </c>
      <c r="E847" s="11" t="s">
        <v>11</v>
      </c>
      <c r="F847" s="11">
        <v>42</v>
      </c>
      <c r="G847" s="11">
        <v>0</v>
      </c>
      <c r="H847" s="11">
        <v>0</v>
      </c>
      <c r="I847" s="11" t="s">
        <v>1510</v>
      </c>
      <c r="J847" s="12">
        <v>7.55</v>
      </c>
    </row>
    <row r="848" spans="1:10" x14ac:dyDescent="0.3">
      <c r="A848" s="7">
        <v>847</v>
      </c>
      <c r="B848" s="8">
        <v>0</v>
      </c>
      <c r="C848" s="8">
        <v>3</v>
      </c>
      <c r="D848" s="8" t="s">
        <v>1511</v>
      </c>
      <c r="E848" s="8" t="s">
        <v>11</v>
      </c>
      <c r="F848" s="8"/>
      <c r="G848" s="8">
        <v>8</v>
      </c>
      <c r="H848" s="8">
        <v>2</v>
      </c>
      <c r="I848" s="8" t="s">
        <v>320</v>
      </c>
      <c r="J848" s="9">
        <v>69.55</v>
      </c>
    </row>
    <row r="849" spans="1:10" x14ac:dyDescent="0.3">
      <c r="A849" s="10">
        <v>848</v>
      </c>
      <c r="B849" s="11">
        <v>0</v>
      </c>
      <c r="C849" s="11">
        <v>3</v>
      </c>
      <c r="D849" s="11" t="s">
        <v>1512</v>
      </c>
      <c r="E849" s="11" t="s">
        <v>11</v>
      </c>
      <c r="F849" s="11">
        <v>35</v>
      </c>
      <c r="G849" s="11">
        <v>0</v>
      </c>
      <c r="H849" s="11">
        <v>0</v>
      </c>
      <c r="I849" s="11" t="s">
        <v>1513</v>
      </c>
      <c r="J849" s="12">
        <v>7.8958000000000004</v>
      </c>
    </row>
    <row r="850" spans="1:10" x14ac:dyDescent="0.3">
      <c r="A850" s="7">
        <v>849</v>
      </c>
      <c r="B850" s="8">
        <v>0</v>
      </c>
      <c r="C850" s="8">
        <v>2</v>
      </c>
      <c r="D850" s="8" t="s">
        <v>1514</v>
      </c>
      <c r="E850" s="8" t="s">
        <v>11</v>
      </c>
      <c r="F850" s="8">
        <v>28</v>
      </c>
      <c r="G850" s="8">
        <v>0</v>
      </c>
      <c r="H850" s="8">
        <v>1</v>
      </c>
      <c r="I850" s="8" t="s">
        <v>1100</v>
      </c>
      <c r="J850" s="9">
        <v>33</v>
      </c>
    </row>
    <row r="851" spans="1:10" x14ac:dyDescent="0.3">
      <c r="A851" s="10">
        <v>850</v>
      </c>
      <c r="B851" s="11">
        <v>1</v>
      </c>
      <c r="C851" s="11">
        <v>1</v>
      </c>
      <c r="D851" s="11" t="s">
        <v>1515</v>
      </c>
      <c r="E851" s="11" t="s">
        <v>14</v>
      </c>
      <c r="F851" s="11"/>
      <c r="G851" s="11">
        <v>1</v>
      </c>
      <c r="H851" s="11">
        <v>0</v>
      </c>
      <c r="I851" s="11" t="s">
        <v>849</v>
      </c>
      <c r="J851" s="12">
        <v>89.104200000000006</v>
      </c>
    </row>
    <row r="852" spans="1:10" x14ac:dyDescent="0.3">
      <c r="A852" s="7">
        <v>851</v>
      </c>
      <c r="B852" s="8">
        <v>0</v>
      </c>
      <c r="C852" s="8">
        <v>3</v>
      </c>
      <c r="D852" s="8" t="s">
        <v>1516</v>
      </c>
      <c r="E852" s="8" t="s">
        <v>11</v>
      </c>
      <c r="F852" s="8">
        <v>4</v>
      </c>
      <c r="G852" s="8">
        <v>4</v>
      </c>
      <c r="H852" s="8">
        <v>2</v>
      </c>
      <c r="I852" s="8" t="s">
        <v>39</v>
      </c>
      <c r="J852" s="9">
        <v>31.274999999999999</v>
      </c>
    </row>
    <row r="853" spans="1:10" x14ac:dyDescent="0.3">
      <c r="A853" s="10">
        <v>852</v>
      </c>
      <c r="B853" s="11">
        <v>0</v>
      </c>
      <c r="C853" s="11">
        <v>3</v>
      </c>
      <c r="D853" s="11" t="s">
        <v>1517</v>
      </c>
      <c r="E853" s="11" t="s">
        <v>11</v>
      </c>
      <c r="F853" s="11">
        <v>74</v>
      </c>
      <c r="G853" s="11">
        <v>0</v>
      </c>
      <c r="H853" s="11">
        <v>0</v>
      </c>
      <c r="I853" s="11" t="s">
        <v>1518</v>
      </c>
      <c r="J853" s="12">
        <v>7.7750000000000004</v>
      </c>
    </row>
    <row r="854" spans="1:10" x14ac:dyDescent="0.3">
      <c r="A854" s="7">
        <v>853</v>
      </c>
      <c r="B854" s="8">
        <v>0</v>
      </c>
      <c r="C854" s="8">
        <v>3</v>
      </c>
      <c r="D854" s="8" t="s">
        <v>1519</v>
      </c>
      <c r="E854" s="8" t="s">
        <v>14</v>
      </c>
      <c r="F854" s="8">
        <v>9</v>
      </c>
      <c r="G854" s="8">
        <v>1</v>
      </c>
      <c r="H854" s="8">
        <v>1</v>
      </c>
      <c r="I854" s="8" t="s">
        <v>283</v>
      </c>
      <c r="J854" s="9">
        <v>15.245799999999999</v>
      </c>
    </row>
    <row r="855" spans="1:10" x14ac:dyDescent="0.3">
      <c r="A855" s="10">
        <v>854</v>
      </c>
      <c r="B855" s="11">
        <v>1</v>
      </c>
      <c r="C855" s="11">
        <v>1</v>
      </c>
      <c r="D855" s="11" t="s">
        <v>1520</v>
      </c>
      <c r="E855" s="11" t="s">
        <v>14</v>
      </c>
      <c r="F855" s="11">
        <v>16</v>
      </c>
      <c r="G855" s="11">
        <v>0</v>
      </c>
      <c r="H855" s="11">
        <v>1</v>
      </c>
      <c r="I855" s="11" t="s">
        <v>1521</v>
      </c>
      <c r="J855" s="12">
        <v>39.4</v>
      </c>
    </row>
    <row r="856" spans="1:10" x14ac:dyDescent="0.3">
      <c r="A856" s="7">
        <v>855</v>
      </c>
      <c r="B856" s="8">
        <v>0</v>
      </c>
      <c r="C856" s="8">
        <v>2</v>
      </c>
      <c r="D856" s="8" t="s">
        <v>1522</v>
      </c>
      <c r="E856" s="8" t="s">
        <v>14</v>
      </c>
      <c r="F856" s="8">
        <v>44</v>
      </c>
      <c r="G856" s="8">
        <v>1</v>
      </c>
      <c r="H856" s="8">
        <v>0</v>
      </c>
      <c r="I856" s="8" t="s">
        <v>485</v>
      </c>
      <c r="J856" s="9">
        <v>26</v>
      </c>
    </row>
    <row r="857" spans="1:10" x14ac:dyDescent="0.3">
      <c r="A857" s="10">
        <v>856</v>
      </c>
      <c r="B857" s="11">
        <v>1</v>
      </c>
      <c r="C857" s="11">
        <v>3</v>
      </c>
      <c r="D857" s="11" t="s">
        <v>1523</v>
      </c>
      <c r="E857" s="11" t="s">
        <v>14</v>
      </c>
      <c r="F857" s="11">
        <v>18</v>
      </c>
      <c r="G857" s="11">
        <v>0</v>
      </c>
      <c r="H857" s="11">
        <v>1</v>
      </c>
      <c r="I857" s="11" t="s">
        <v>1524</v>
      </c>
      <c r="J857" s="12">
        <v>9.35</v>
      </c>
    </row>
    <row r="858" spans="1:10" x14ac:dyDescent="0.3">
      <c r="A858" s="7">
        <v>857</v>
      </c>
      <c r="B858" s="8">
        <v>1</v>
      </c>
      <c r="C858" s="8">
        <v>1</v>
      </c>
      <c r="D858" s="8" t="s">
        <v>1525</v>
      </c>
      <c r="E858" s="8" t="s">
        <v>14</v>
      </c>
      <c r="F858" s="8">
        <v>45</v>
      </c>
      <c r="G858" s="8">
        <v>1</v>
      </c>
      <c r="H858" s="8">
        <v>1</v>
      </c>
      <c r="I858" s="8" t="s">
        <v>614</v>
      </c>
      <c r="J858" s="9">
        <v>164.86670000000001</v>
      </c>
    </row>
    <row r="859" spans="1:10" x14ac:dyDescent="0.3">
      <c r="A859" s="10">
        <v>858</v>
      </c>
      <c r="B859" s="11">
        <v>1</v>
      </c>
      <c r="C859" s="11">
        <v>1</v>
      </c>
      <c r="D859" s="11" t="s">
        <v>1526</v>
      </c>
      <c r="E859" s="11" t="s">
        <v>11</v>
      </c>
      <c r="F859" s="11">
        <v>51</v>
      </c>
      <c r="G859" s="11">
        <v>0</v>
      </c>
      <c r="H859" s="11">
        <v>0</v>
      </c>
      <c r="I859" s="11" t="s">
        <v>1527</v>
      </c>
      <c r="J859" s="12">
        <v>26.55</v>
      </c>
    </row>
    <row r="860" spans="1:10" x14ac:dyDescent="0.3">
      <c r="A860" s="7">
        <v>859</v>
      </c>
      <c r="B860" s="8">
        <v>1</v>
      </c>
      <c r="C860" s="8">
        <v>3</v>
      </c>
      <c r="D860" s="8" t="s">
        <v>1528</v>
      </c>
      <c r="E860" s="8" t="s">
        <v>14</v>
      </c>
      <c r="F860" s="8">
        <v>24</v>
      </c>
      <c r="G860" s="8">
        <v>0</v>
      </c>
      <c r="H860" s="8">
        <v>3</v>
      </c>
      <c r="I860" s="8" t="s">
        <v>840</v>
      </c>
      <c r="J860" s="9">
        <v>19.258299999999998</v>
      </c>
    </row>
    <row r="861" spans="1:10" x14ac:dyDescent="0.3">
      <c r="A861" s="10">
        <v>860</v>
      </c>
      <c r="B861" s="11">
        <v>0</v>
      </c>
      <c r="C861" s="11">
        <v>3</v>
      </c>
      <c r="D861" s="11" t="s">
        <v>1529</v>
      </c>
      <c r="E861" s="11" t="s">
        <v>11</v>
      </c>
      <c r="F861" s="11"/>
      <c r="G861" s="11">
        <v>0</v>
      </c>
      <c r="H861" s="11">
        <v>0</v>
      </c>
      <c r="I861" s="11" t="s">
        <v>1530</v>
      </c>
      <c r="J861" s="12">
        <v>7.2291999999999996</v>
      </c>
    </row>
    <row r="862" spans="1:10" x14ac:dyDescent="0.3">
      <c r="A862" s="7">
        <v>861</v>
      </c>
      <c r="B862" s="8">
        <v>0</v>
      </c>
      <c r="C862" s="8">
        <v>3</v>
      </c>
      <c r="D862" s="8" t="s">
        <v>1531</v>
      </c>
      <c r="E862" s="8" t="s">
        <v>11</v>
      </c>
      <c r="F862" s="8">
        <v>41</v>
      </c>
      <c r="G862" s="8">
        <v>2</v>
      </c>
      <c r="H862" s="8">
        <v>0</v>
      </c>
      <c r="I862" s="8" t="s">
        <v>1532</v>
      </c>
      <c r="J862" s="9">
        <v>14.1083</v>
      </c>
    </row>
    <row r="863" spans="1:10" x14ac:dyDescent="0.3">
      <c r="A863" s="10">
        <v>862</v>
      </c>
      <c r="B863" s="11">
        <v>0</v>
      </c>
      <c r="C863" s="11">
        <v>2</v>
      </c>
      <c r="D863" s="11" t="s">
        <v>1533</v>
      </c>
      <c r="E863" s="11" t="s">
        <v>11</v>
      </c>
      <c r="F863" s="11">
        <v>21</v>
      </c>
      <c r="G863" s="11">
        <v>1</v>
      </c>
      <c r="H863" s="11">
        <v>0</v>
      </c>
      <c r="I863" s="11" t="s">
        <v>1534</v>
      </c>
      <c r="J863" s="12">
        <v>11.5</v>
      </c>
    </row>
    <row r="864" spans="1:10" x14ac:dyDescent="0.3">
      <c r="A864" s="7">
        <v>863</v>
      </c>
      <c r="B864" s="8">
        <v>1</v>
      </c>
      <c r="C864" s="8">
        <v>1</v>
      </c>
      <c r="D864" s="8" t="s">
        <v>1535</v>
      </c>
      <c r="E864" s="8" t="s">
        <v>14</v>
      </c>
      <c r="F864" s="8">
        <v>48</v>
      </c>
      <c r="G864" s="8">
        <v>0</v>
      </c>
      <c r="H864" s="8">
        <v>0</v>
      </c>
      <c r="I864" s="8" t="s">
        <v>1536</v>
      </c>
      <c r="J864" s="9">
        <v>25.929200000000002</v>
      </c>
    </row>
    <row r="865" spans="1:10" x14ac:dyDescent="0.3">
      <c r="A865" s="10">
        <v>864</v>
      </c>
      <c r="B865" s="11">
        <v>0</v>
      </c>
      <c r="C865" s="11">
        <v>3</v>
      </c>
      <c r="D865" s="11" t="s">
        <v>1537</v>
      </c>
      <c r="E865" s="11" t="s">
        <v>14</v>
      </c>
      <c r="F865" s="11"/>
      <c r="G865" s="11">
        <v>8</v>
      </c>
      <c r="H865" s="11">
        <v>2</v>
      </c>
      <c r="I865" s="11" t="s">
        <v>320</v>
      </c>
      <c r="J865" s="12">
        <v>69.55</v>
      </c>
    </row>
    <row r="866" spans="1:10" x14ac:dyDescent="0.3">
      <c r="A866" s="7">
        <v>865</v>
      </c>
      <c r="B866" s="8">
        <v>0</v>
      </c>
      <c r="C866" s="8">
        <v>2</v>
      </c>
      <c r="D866" s="8" t="s">
        <v>1538</v>
      </c>
      <c r="E866" s="8" t="s">
        <v>11</v>
      </c>
      <c r="F866" s="8">
        <v>24</v>
      </c>
      <c r="G866" s="8">
        <v>0</v>
      </c>
      <c r="H866" s="8">
        <v>0</v>
      </c>
      <c r="I866" s="8" t="s">
        <v>1539</v>
      </c>
      <c r="J866" s="9">
        <v>13</v>
      </c>
    </row>
    <row r="867" spans="1:10" x14ac:dyDescent="0.3">
      <c r="A867" s="10">
        <v>866</v>
      </c>
      <c r="B867" s="11">
        <v>1</v>
      </c>
      <c r="C867" s="11">
        <v>2</v>
      </c>
      <c r="D867" s="11" t="s">
        <v>1540</v>
      </c>
      <c r="E867" s="11" t="s">
        <v>14</v>
      </c>
      <c r="F867" s="11">
        <v>42</v>
      </c>
      <c r="G867" s="11">
        <v>0</v>
      </c>
      <c r="H867" s="11">
        <v>0</v>
      </c>
      <c r="I867" s="11" t="s">
        <v>1541</v>
      </c>
      <c r="J867" s="12">
        <v>13</v>
      </c>
    </row>
    <row r="868" spans="1:10" x14ac:dyDescent="0.3">
      <c r="A868" s="7">
        <v>867</v>
      </c>
      <c r="B868" s="8">
        <v>1</v>
      </c>
      <c r="C868" s="8">
        <v>2</v>
      </c>
      <c r="D868" s="8" t="s">
        <v>1542</v>
      </c>
      <c r="E868" s="8" t="s">
        <v>14</v>
      </c>
      <c r="F868" s="8">
        <v>27</v>
      </c>
      <c r="G868" s="8">
        <v>1</v>
      </c>
      <c r="H868" s="8">
        <v>0</v>
      </c>
      <c r="I868" s="8" t="s">
        <v>1543</v>
      </c>
      <c r="J868" s="9">
        <v>13.8583</v>
      </c>
    </row>
    <row r="869" spans="1:10" x14ac:dyDescent="0.3">
      <c r="A869" s="10">
        <v>868</v>
      </c>
      <c r="B869" s="11">
        <v>0</v>
      </c>
      <c r="C869" s="11">
        <v>1</v>
      </c>
      <c r="D869" s="11" t="s">
        <v>1544</v>
      </c>
      <c r="E869" s="11" t="s">
        <v>11</v>
      </c>
      <c r="F869" s="11">
        <v>31</v>
      </c>
      <c r="G869" s="11">
        <v>0</v>
      </c>
      <c r="H869" s="11">
        <v>0</v>
      </c>
      <c r="I869" s="11" t="s">
        <v>1545</v>
      </c>
      <c r="J869" s="12">
        <v>50.495800000000003</v>
      </c>
    </row>
    <row r="870" spans="1:10" x14ac:dyDescent="0.3">
      <c r="A870" s="7">
        <v>869</v>
      </c>
      <c r="B870" s="8">
        <v>0</v>
      </c>
      <c r="C870" s="8">
        <v>3</v>
      </c>
      <c r="D870" s="8" t="s">
        <v>1546</v>
      </c>
      <c r="E870" s="8" t="s">
        <v>11</v>
      </c>
      <c r="F870" s="8"/>
      <c r="G870" s="8">
        <v>0</v>
      </c>
      <c r="H870" s="8">
        <v>0</v>
      </c>
      <c r="I870" s="8" t="s">
        <v>1547</v>
      </c>
      <c r="J870" s="9">
        <v>9.5</v>
      </c>
    </row>
    <row r="871" spans="1:10" x14ac:dyDescent="0.3">
      <c r="A871" s="10">
        <v>870</v>
      </c>
      <c r="B871" s="11">
        <v>1</v>
      </c>
      <c r="C871" s="11">
        <v>3</v>
      </c>
      <c r="D871" s="11" t="s">
        <v>1548</v>
      </c>
      <c r="E871" s="11" t="s">
        <v>11</v>
      </c>
      <c r="F871" s="11">
        <v>4</v>
      </c>
      <c r="G871" s="11">
        <v>1</v>
      </c>
      <c r="H871" s="11">
        <v>1</v>
      </c>
      <c r="I871" s="11" t="s">
        <v>29</v>
      </c>
      <c r="J871" s="12">
        <v>11.1333</v>
      </c>
    </row>
    <row r="872" spans="1:10" x14ac:dyDescent="0.3">
      <c r="A872" s="7">
        <v>871</v>
      </c>
      <c r="B872" s="8">
        <v>0</v>
      </c>
      <c r="C872" s="8">
        <v>3</v>
      </c>
      <c r="D872" s="8" t="s">
        <v>1549</v>
      </c>
      <c r="E872" s="8" t="s">
        <v>11</v>
      </c>
      <c r="F872" s="8">
        <v>26</v>
      </c>
      <c r="G872" s="8">
        <v>0</v>
      </c>
      <c r="H872" s="8">
        <v>0</v>
      </c>
      <c r="I872" s="8" t="s">
        <v>1550</v>
      </c>
      <c r="J872" s="9">
        <v>7.8958000000000004</v>
      </c>
    </row>
    <row r="873" spans="1:10" x14ac:dyDescent="0.3">
      <c r="A873" s="10">
        <v>872</v>
      </c>
      <c r="B873" s="11">
        <v>1</v>
      </c>
      <c r="C873" s="11">
        <v>1</v>
      </c>
      <c r="D873" s="11" t="s">
        <v>1551</v>
      </c>
      <c r="E873" s="11" t="s">
        <v>14</v>
      </c>
      <c r="F873" s="11">
        <v>47</v>
      </c>
      <c r="G873" s="11">
        <v>1</v>
      </c>
      <c r="H873" s="11">
        <v>1</v>
      </c>
      <c r="I873" s="11" t="s">
        <v>483</v>
      </c>
      <c r="J873" s="12">
        <v>52.554200000000002</v>
      </c>
    </row>
    <row r="874" spans="1:10" x14ac:dyDescent="0.3">
      <c r="A874" s="7">
        <v>873</v>
      </c>
      <c r="B874" s="8">
        <v>0</v>
      </c>
      <c r="C874" s="8">
        <v>1</v>
      </c>
      <c r="D874" s="8" t="s">
        <v>1552</v>
      </c>
      <c r="E874" s="8" t="s">
        <v>11</v>
      </c>
      <c r="F874" s="8">
        <v>33</v>
      </c>
      <c r="G874" s="8">
        <v>0</v>
      </c>
      <c r="H874" s="8">
        <v>0</v>
      </c>
      <c r="I874" s="8" t="s">
        <v>1553</v>
      </c>
      <c r="J874" s="9">
        <v>5</v>
      </c>
    </row>
    <row r="875" spans="1:10" x14ac:dyDescent="0.3">
      <c r="A875" s="10">
        <v>874</v>
      </c>
      <c r="B875" s="11">
        <v>0</v>
      </c>
      <c r="C875" s="11">
        <v>3</v>
      </c>
      <c r="D875" s="11" t="s">
        <v>1554</v>
      </c>
      <c r="E875" s="11" t="s">
        <v>11</v>
      </c>
      <c r="F875" s="11">
        <v>47</v>
      </c>
      <c r="G875" s="11">
        <v>0</v>
      </c>
      <c r="H875" s="11">
        <v>0</v>
      </c>
      <c r="I875" s="11" t="s">
        <v>1555</v>
      </c>
      <c r="J875" s="12">
        <v>9</v>
      </c>
    </row>
    <row r="876" spans="1:10" x14ac:dyDescent="0.3">
      <c r="A876" s="7">
        <v>875</v>
      </c>
      <c r="B876" s="8">
        <v>1</v>
      </c>
      <c r="C876" s="8">
        <v>2</v>
      </c>
      <c r="D876" s="8" t="s">
        <v>1556</v>
      </c>
      <c r="E876" s="8" t="s">
        <v>14</v>
      </c>
      <c r="F876" s="8">
        <v>28</v>
      </c>
      <c r="G876" s="8">
        <v>1</v>
      </c>
      <c r="H876" s="8">
        <v>0</v>
      </c>
      <c r="I876" s="8" t="s">
        <v>595</v>
      </c>
      <c r="J876" s="9">
        <v>24</v>
      </c>
    </row>
    <row r="877" spans="1:10" x14ac:dyDescent="0.3">
      <c r="A877" s="10">
        <v>876</v>
      </c>
      <c r="B877" s="11">
        <v>1</v>
      </c>
      <c r="C877" s="11">
        <v>3</v>
      </c>
      <c r="D877" s="11" t="s">
        <v>1557</v>
      </c>
      <c r="E877" s="11" t="s">
        <v>14</v>
      </c>
      <c r="F877" s="11">
        <v>15</v>
      </c>
      <c r="G877" s="11">
        <v>0</v>
      </c>
      <c r="H877" s="11">
        <v>0</v>
      </c>
      <c r="I877" s="11" t="s">
        <v>1558</v>
      </c>
      <c r="J877" s="12">
        <v>7.2249999999999996</v>
      </c>
    </row>
    <row r="878" spans="1:10" x14ac:dyDescent="0.3">
      <c r="A878" s="7">
        <v>877</v>
      </c>
      <c r="B878" s="8">
        <v>0</v>
      </c>
      <c r="C878" s="8">
        <v>3</v>
      </c>
      <c r="D878" s="8" t="s">
        <v>1559</v>
      </c>
      <c r="E878" s="8" t="s">
        <v>11</v>
      </c>
      <c r="F878" s="8">
        <v>20</v>
      </c>
      <c r="G878" s="8">
        <v>0</v>
      </c>
      <c r="H878" s="8">
        <v>0</v>
      </c>
      <c r="I878" s="8" t="s">
        <v>279</v>
      </c>
      <c r="J878" s="9">
        <v>9.8458000000000006</v>
      </c>
    </row>
    <row r="879" spans="1:10" x14ac:dyDescent="0.3">
      <c r="A879" s="10">
        <v>878</v>
      </c>
      <c r="B879" s="11">
        <v>0</v>
      </c>
      <c r="C879" s="11">
        <v>3</v>
      </c>
      <c r="D879" s="11" t="s">
        <v>1560</v>
      </c>
      <c r="E879" s="11" t="s">
        <v>11</v>
      </c>
      <c r="F879" s="11">
        <v>19</v>
      </c>
      <c r="G879" s="11">
        <v>0</v>
      </c>
      <c r="H879" s="11">
        <v>0</v>
      </c>
      <c r="I879" s="11" t="s">
        <v>1561</v>
      </c>
      <c r="J879" s="12">
        <v>7.8958000000000004</v>
      </c>
    </row>
    <row r="880" spans="1:10" x14ac:dyDescent="0.3">
      <c r="A880" s="7">
        <v>879</v>
      </c>
      <c r="B880" s="8">
        <v>0</v>
      </c>
      <c r="C880" s="8">
        <v>3</v>
      </c>
      <c r="D880" s="8" t="s">
        <v>1562</v>
      </c>
      <c r="E880" s="8" t="s">
        <v>11</v>
      </c>
      <c r="F880" s="8"/>
      <c r="G880" s="8">
        <v>0</v>
      </c>
      <c r="H880" s="8">
        <v>0</v>
      </c>
      <c r="I880" s="8" t="s">
        <v>1563</v>
      </c>
      <c r="J880" s="9">
        <v>7.8958000000000004</v>
      </c>
    </row>
    <row r="881" spans="1:10" x14ac:dyDescent="0.3">
      <c r="A881" s="10">
        <v>880</v>
      </c>
      <c r="B881" s="11">
        <v>1</v>
      </c>
      <c r="C881" s="11">
        <v>1</v>
      </c>
      <c r="D881" s="11" t="s">
        <v>1564</v>
      </c>
      <c r="E881" s="11" t="s">
        <v>14</v>
      </c>
      <c r="F881" s="11">
        <v>56</v>
      </c>
      <c r="G881" s="11">
        <v>0</v>
      </c>
      <c r="H881" s="11">
        <v>1</v>
      </c>
      <c r="I881" s="11" t="s">
        <v>599</v>
      </c>
      <c r="J881" s="12">
        <v>83.158299999999997</v>
      </c>
    </row>
    <row r="882" spans="1:10" x14ac:dyDescent="0.3">
      <c r="A882" s="7">
        <v>881</v>
      </c>
      <c r="B882" s="8">
        <v>1</v>
      </c>
      <c r="C882" s="8">
        <v>2</v>
      </c>
      <c r="D882" s="8" t="s">
        <v>1565</v>
      </c>
      <c r="E882" s="8" t="s">
        <v>14</v>
      </c>
      <c r="F882" s="8">
        <v>25</v>
      </c>
      <c r="G882" s="8">
        <v>0</v>
      </c>
      <c r="H882" s="8">
        <v>1</v>
      </c>
      <c r="I882" s="8" t="s">
        <v>504</v>
      </c>
      <c r="J882" s="9">
        <v>26</v>
      </c>
    </row>
    <row r="883" spans="1:10" x14ac:dyDescent="0.3">
      <c r="A883" s="10">
        <v>882</v>
      </c>
      <c r="B883" s="11">
        <v>0</v>
      </c>
      <c r="C883" s="11">
        <v>3</v>
      </c>
      <c r="D883" s="11" t="s">
        <v>1566</v>
      </c>
      <c r="E883" s="11" t="s">
        <v>11</v>
      </c>
      <c r="F883" s="11">
        <v>33</v>
      </c>
      <c r="G883" s="11">
        <v>0</v>
      </c>
      <c r="H883" s="11">
        <v>0</v>
      </c>
      <c r="I883" s="11" t="s">
        <v>1567</v>
      </c>
      <c r="J883" s="12">
        <v>7.8958000000000004</v>
      </c>
    </row>
    <row r="884" spans="1:10" x14ac:dyDescent="0.3">
      <c r="A884" s="7">
        <v>883</v>
      </c>
      <c r="B884" s="8">
        <v>0</v>
      </c>
      <c r="C884" s="8">
        <v>3</v>
      </c>
      <c r="D884" s="8" t="s">
        <v>1568</v>
      </c>
      <c r="E884" s="8" t="s">
        <v>14</v>
      </c>
      <c r="F884" s="8">
        <v>22</v>
      </c>
      <c r="G884" s="8">
        <v>0</v>
      </c>
      <c r="H884" s="8">
        <v>0</v>
      </c>
      <c r="I884" s="8" t="s">
        <v>1569</v>
      </c>
      <c r="J884" s="9">
        <v>10.5167</v>
      </c>
    </row>
    <row r="885" spans="1:10" x14ac:dyDescent="0.3">
      <c r="A885" s="10">
        <v>884</v>
      </c>
      <c r="B885" s="11">
        <v>0</v>
      </c>
      <c r="C885" s="11">
        <v>2</v>
      </c>
      <c r="D885" s="11" t="s">
        <v>1570</v>
      </c>
      <c r="E885" s="11" t="s">
        <v>11</v>
      </c>
      <c r="F885" s="11">
        <v>28</v>
      </c>
      <c r="G885" s="11">
        <v>0</v>
      </c>
      <c r="H885" s="11">
        <v>0</v>
      </c>
      <c r="I885" s="11" t="s">
        <v>1571</v>
      </c>
      <c r="J885" s="12">
        <v>10.5</v>
      </c>
    </row>
    <row r="886" spans="1:10" x14ac:dyDescent="0.3">
      <c r="A886" s="7">
        <v>885</v>
      </c>
      <c r="B886" s="8">
        <v>0</v>
      </c>
      <c r="C886" s="8">
        <v>3</v>
      </c>
      <c r="D886" s="8" t="s">
        <v>1572</v>
      </c>
      <c r="E886" s="8" t="s">
        <v>11</v>
      </c>
      <c r="F886" s="8">
        <v>25</v>
      </c>
      <c r="G886" s="8">
        <v>0</v>
      </c>
      <c r="H886" s="8">
        <v>0</v>
      </c>
      <c r="I886" s="8" t="s">
        <v>1573</v>
      </c>
      <c r="J886" s="9">
        <v>7.05</v>
      </c>
    </row>
    <row r="887" spans="1:10" x14ac:dyDescent="0.3">
      <c r="A887" s="10">
        <v>886</v>
      </c>
      <c r="B887" s="11">
        <v>0</v>
      </c>
      <c r="C887" s="11">
        <v>3</v>
      </c>
      <c r="D887" s="11" t="s">
        <v>1574</v>
      </c>
      <c r="E887" s="11" t="s">
        <v>14</v>
      </c>
      <c r="F887" s="11">
        <v>39</v>
      </c>
      <c r="G887" s="11">
        <v>0</v>
      </c>
      <c r="H887" s="11">
        <v>5</v>
      </c>
      <c r="I887" s="11" t="s">
        <v>45</v>
      </c>
      <c r="J887" s="12">
        <v>29.125</v>
      </c>
    </row>
    <row r="888" spans="1:10" x14ac:dyDescent="0.3">
      <c r="A888" s="7">
        <v>887</v>
      </c>
      <c r="B888" s="8">
        <v>0</v>
      </c>
      <c r="C888" s="8">
        <v>2</v>
      </c>
      <c r="D888" s="8" t="s">
        <v>1575</v>
      </c>
      <c r="E888" s="8" t="s">
        <v>11</v>
      </c>
      <c r="F888" s="8">
        <v>27</v>
      </c>
      <c r="G888" s="8">
        <v>0</v>
      </c>
      <c r="H888" s="8">
        <v>0</v>
      </c>
      <c r="I888" s="8" t="s">
        <v>1576</v>
      </c>
      <c r="J888" s="9">
        <v>13</v>
      </c>
    </row>
    <row r="889" spans="1:10" x14ac:dyDescent="0.3">
      <c r="A889" s="10">
        <v>888</v>
      </c>
      <c r="B889" s="11">
        <v>1</v>
      </c>
      <c r="C889" s="11">
        <v>1</v>
      </c>
      <c r="D889" s="11" t="s">
        <v>1577</v>
      </c>
      <c r="E889" s="11" t="s">
        <v>14</v>
      </c>
      <c r="F889" s="11">
        <v>19</v>
      </c>
      <c r="G889" s="11">
        <v>0</v>
      </c>
      <c r="H889" s="11">
        <v>0</v>
      </c>
      <c r="I889" s="11" t="s">
        <v>1578</v>
      </c>
      <c r="J889" s="12">
        <v>30</v>
      </c>
    </row>
    <row r="890" spans="1:10" x14ac:dyDescent="0.3">
      <c r="A890" s="7">
        <v>889</v>
      </c>
      <c r="B890" s="8">
        <v>0</v>
      </c>
      <c r="C890" s="8">
        <v>3</v>
      </c>
      <c r="D890" s="8" t="s">
        <v>1579</v>
      </c>
      <c r="E890" s="8" t="s">
        <v>14</v>
      </c>
      <c r="F890" s="8"/>
      <c r="G890" s="8">
        <v>1</v>
      </c>
      <c r="H890" s="8">
        <v>2</v>
      </c>
      <c r="I890" s="8" t="s">
        <v>1410</v>
      </c>
      <c r="J890" s="9">
        <v>23.45</v>
      </c>
    </row>
    <row r="891" spans="1:10" x14ac:dyDescent="0.3">
      <c r="A891" s="10">
        <v>890</v>
      </c>
      <c r="B891" s="11">
        <v>1</v>
      </c>
      <c r="C891" s="11">
        <v>1</v>
      </c>
      <c r="D891" s="11" t="s">
        <v>1580</v>
      </c>
      <c r="E891" s="11" t="s">
        <v>11</v>
      </c>
      <c r="F891" s="11">
        <v>26</v>
      </c>
      <c r="G891" s="11">
        <v>0</v>
      </c>
      <c r="H891" s="11">
        <v>0</v>
      </c>
      <c r="I891" s="11" t="s">
        <v>1581</v>
      </c>
      <c r="J891" s="12">
        <v>30</v>
      </c>
    </row>
    <row r="892" spans="1:10" x14ac:dyDescent="0.3">
      <c r="A892" s="1">
        <v>891</v>
      </c>
      <c r="B892" s="2">
        <v>0</v>
      </c>
      <c r="C892" s="2">
        <v>3</v>
      </c>
      <c r="D892" s="2" t="s">
        <v>1582</v>
      </c>
      <c r="E892" s="2" t="s">
        <v>11</v>
      </c>
      <c r="F892" s="2">
        <v>32</v>
      </c>
      <c r="G892" s="2">
        <v>0</v>
      </c>
      <c r="H892" s="2">
        <v>0</v>
      </c>
      <c r="I892" s="2" t="s">
        <v>1583</v>
      </c>
      <c r="J892" s="3">
        <v>7.75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0683-F905-4B2E-88AE-263799F608D6}">
  <dimension ref="A1:Q892"/>
  <sheetViews>
    <sheetView zoomScaleNormal="100" workbookViewId="0">
      <pane ySplit="1" topLeftCell="A2" activePane="bottomLeft" state="frozen"/>
      <selection pane="bottomLeft" activeCell="D21" sqref="A2:Q892"/>
    </sheetView>
  </sheetViews>
  <sheetFormatPr defaultRowHeight="14.4" x14ac:dyDescent="0.3"/>
  <cols>
    <col min="1" max="1" width="13" style="17" customWidth="1"/>
    <col min="2" max="2" width="10.21875" style="17" customWidth="1"/>
    <col min="3" max="3" width="8.6640625" style="17" customWidth="1"/>
    <col min="4" max="4" width="53.5546875" customWidth="1"/>
    <col min="5" max="5" width="12.109375" customWidth="1"/>
    <col min="6" max="6" width="8.88671875" style="26"/>
    <col min="7" max="8" width="8.88671875" style="17"/>
    <col min="9" max="9" width="18.44140625" customWidth="1"/>
    <col min="10" max="10" width="15.5546875" style="22" customWidth="1"/>
    <col min="11" max="11" width="16.5546875" customWidth="1"/>
    <col min="12" max="12" width="12.33203125" customWidth="1"/>
    <col min="13" max="13" width="13.6640625" customWidth="1"/>
    <col min="14" max="14" width="13.77734375" customWidth="1"/>
    <col min="15" max="15" width="15.5546875" customWidth="1"/>
    <col min="16" max="16" width="17" customWidth="1"/>
    <col min="17" max="17" width="14.33203125" customWidth="1"/>
  </cols>
  <sheetData>
    <row r="1" spans="1:17" x14ac:dyDescent="0.3">
      <c r="A1" s="14" t="s">
        <v>0</v>
      </c>
      <c r="B1" s="14" t="s">
        <v>1</v>
      </c>
      <c r="C1" s="14" t="s">
        <v>2</v>
      </c>
      <c r="D1" s="13" t="s">
        <v>3</v>
      </c>
      <c r="E1" s="13" t="s">
        <v>4</v>
      </c>
      <c r="F1" s="23" t="s">
        <v>5</v>
      </c>
      <c r="G1" s="14" t="s">
        <v>6</v>
      </c>
      <c r="H1" s="14" t="s">
        <v>7</v>
      </c>
      <c r="I1" s="13" t="s">
        <v>8</v>
      </c>
      <c r="J1" s="19" t="s">
        <v>9</v>
      </c>
      <c r="K1" s="13" t="s">
        <v>1585</v>
      </c>
      <c r="L1" s="13" t="s">
        <v>1586</v>
      </c>
      <c r="M1" s="13" t="s">
        <v>1587</v>
      </c>
      <c r="N1" s="13" t="s">
        <v>1588</v>
      </c>
      <c r="O1" s="13" t="s">
        <v>1589</v>
      </c>
      <c r="P1" s="13" t="s">
        <v>1590</v>
      </c>
      <c r="Q1" s="13" t="s">
        <v>1591</v>
      </c>
    </row>
    <row r="2" spans="1:17" x14ac:dyDescent="0.3">
      <c r="A2" s="15">
        <v>1</v>
      </c>
      <c r="B2" s="15">
        <v>0</v>
      </c>
      <c r="C2" s="15">
        <v>3</v>
      </c>
      <c r="D2" s="8" t="s">
        <v>10</v>
      </c>
      <c r="E2" s="8" t="s">
        <v>11</v>
      </c>
      <c r="F2" s="24">
        <v>22</v>
      </c>
      <c r="G2" s="15">
        <v>1</v>
      </c>
      <c r="H2" s="15">
        <v>0</v>
      </c>
      <c r="I2" s="8" t="s">
        <v>12</v>
      </c>
      <c r="J2" s="20">
        <v>7.25</v>
      </c>
      <c r="K2" s="27" t="str">
        <f t="shared" ref="K2:K65" si="0">IF(B2=1, "Survived", "Died")</f>
        <v>Died</v>
      </c>
      <c r="L2" s="27" t="str">
        <f t="shared" ref="L2:L65" si="1">IF(F2&lt;18, "Child", IF(F2&lt;35, "Young Adult", IF(F2&lt;60, "Adult", "Senior")))</f>
        <v>Young Adult</v>
      </c>
      <c r="M2" s="28">
        <f t="shared" ref="M2:M65" si="2">G2+H2+1</f>
        <v>2</v>
      </c>
      <c r="N2" s="27" t="str">
        <f t="shared" ref="N2:N65" si="3">IF(M2=1,"Alone",IF(M2&lt;=4,"Small Family","Large Family"))</f>
        <v>Small Family</v>
      </c>
      <c r="O2" s="27" t="str">
        <f t="shared" ref="O2:O65" si="4">IF(J2&lt;25, "Low Fare", IF(J2&lt;=100, "Medium Fare", "High Fare"))</f>
        <v>Low Fare</v>
      </c>
      <c r="P2" s="27" t="str">
        <f t="shared" ref="P2:P65" si="5">IF(C2=1, "First Class", IF(C2=2, "Second Class", "Third Class"))</f>
        <v>Third Class</v>
      </c>
      <c r="Q2" s="27">
        <f t="shared" ref="Q2:Q65" si="6">IF(E2="male", 1, 2)</f>
        <v>1</v>
      </c>
    </row>
    <row r="3" spans="1:17" x14ac:dyDescent="0.3">
      <c r="A3" s="16">
        <v>2</v>
      </c>
      <c r="B3" s="16">
        <v>1</v>
      </c>
      <c r="C3" s="16">
        <v>1</v>
      </c>
      <c r="D3" s="11" t="s">
        <v>13</v>
      </c>
      <c r="E3" s="11" t="s">
        <v>14</v>
      </c>
      <c r="F3" s="25">
        <v>38</v>
      </c>
      <c r="G3" s="16">
        <v>1</v>
      </c>
      <c r="H3" s="16">
        <v>0</v>
      </c>
      <c r="I3" s="11" t="s">
        <v>15</v>
      </c>
      <c r="J3" s="21">
        <v>71.283299999999997</v>
      </c>
      <c r="K3" s="27" t="str">
        <f t="shared" si="0"/>
        <v>Survived</v>
      </c>
      <c r="L3" s="27" t="str">
        <f t="shared" si="1"/>
        <v>Adult</v>
      </c>
      <c r="M3" s="28">
        <f t="shared" si="2"/>
        <v>2</v>
      </c>
      <c r="N3" s="27" t="str">
        <f t="shared" si="3"/>
        <v>Small Family</v>
      </c>
      <c r="O3" s="27" t="str">
        <f t="shared" si="4"/>
        <v>Medium Fare</v>
      </c>
      <c r="P3" s="27" t="str">
        <f t="shared" si="5"/>
        <v>First Class</v>
      </c>
      <c r="Q3" s="27">
        <f t="shared" si="6"/>
        <v>2</v>
      </c>
    </row>
    <row r="4" spans="1:17" x14ac:dyDescent="0.3">
      <c r="A4" s="15">
        <v>3</v>
      </c>
      <c r="B4" s="15">
        <v>1</v>
      </c>
      <c r="C4" s="15">
        <v>3</v>
      </c>
      <c r="D4" s="8" t="s">
        <v>16</v>
      </c>
      <c r="E4" s="8" t="s">
        <v>14</v>
      </c>
      <c r="F4" s="24">
        <v>26</v>
      </c>
      <c r="G4" s="15">
        <v>0</v>
      </c>
      <c r="H4" s="15">
        <v>0</v>
      </c>
      <c r="I4" s="8" t="s">
        <v>17</v>
      </c>
      <c r="J4" s="20">
        <v>7.9249999999999998</v>
      </c>
      <c r="K4" s="27" t="str">
        <f t="shared" si="0"/>
        <v>Survived</v>
      </c>
      <c r="L4" s="27" t="str">
        <f t="shared" si="1"/>
        <v>Young Adult</v>
      </c>
      <c r="M4" s="28">
        <f t="shared" si="2"/>
        <v>1</v>
      </c>
      <c r="N4" s="27" t="str">
        <f t="shared" si="3"/>
        <v>Alone</v>
      </c>
      <c r="O4" s="27" t="str">
        <f t="shared" si="4"/>
        <v>Low Fare</v>
      </c>
      <c r="P4" s="27" t="str">
        <f t="shared" si="5"/>
        <v>Third Class</v>
      </c>
      <c r="Q4" s="27">
        <f t="shared" si="6"/>
        <v>2</v>
      </c>
    </row>
    <row r="5" spans="1:17" x14ac:dyDescent="0.3">
      <c r="A5" s="16">
        <v>4</v>
      </c>
      <c r="B5" s="16">
        <v>1</v>
      </c>
      <c r="C5" s="16">
        <v>1</v>
      </c>
      <c r="D5" s="11" t="s">
        <v>18</v>
      </c>
      <c r="E5" s="11" t="s">
        <v>14</v>
      </c>
      <c r="F5" s="25">
        <v>35</v>
      </c>
      <c r="G5" s="16">
        <v>1</v>
      </c>
      <c r="H5" s="16">
        <v>0</v>
      </c>
      <c r="I5" s="11" t="s">
        <v>19</v>
      </c>
      <c r="J5" s="21">
        <v>53.1</v>
      </c>
      <c r="K5" s="27" t="str">
        <f t="shared" si="0"/>
        <v>Survived</v>
      </c>
      <c r="L5" s="27" t="str">
        <f t="shared" si="1"/>
        <v>Adult</v>
      </c>
      <c r="M5" s="28">
        <f t="shared" si="2"/>
        <v>2</v>
      </c>
      <c r="N5" s="27" t="str">
        <f t="shared" si="3"/>
        <v>Small Family</v>
      </c>
      <c r="O5" s="27" t="str">
        <f t="shared" si="4"/>
        <v>Medium Fare</v>
      </c>
      <c r="P5" s="27" t="str">
        <f t="shared" si="5"/>
        <v>First Class</v>
      </c>
      <c r="Q5" s="27">
        <f t="shared" si="6"/>
        <v>2</v>
      </c>
    </row>
    <row r="6" spans="1:17" x14ac:dyDescent="0.3">
      <c r="A6" s="15">
        <v>5</v>
      </c>
      <c r="B6" s="15">
        <v>0</v>
      </c>
      <c r="C6" s="15">
        <v>3</v>
      </c>
      <c r="D6" s="8" t="s">
        <v>20</v>
      </c>
      <c r="E6" s="8" t="s">
        <v>11</v>
      </c>
      <c r="F6" s="24">
        <v>35</v>
      </c>
      <c r="G6" s="15">
        <v>0</v>
      </c>
      <c r="H6" s="15">
        <v>0</v>
      </c>
      <c r="I6" s="8" t="s">
        <v>21</v>
      </c>
      <c r="J6" s="20">
        <v>8.0500000000000007</v>
      </c>
      <c r="K6" s="27" t="str">
        <f t="shared" si="0"/>
        <v>Died</v>
      </c>
      <c r="L6" s="27" t="str">
        <f t="shared" si="1"/>
        <v>Adult</v>
      </c>
      <c r="M6" s="28">
        <f t="shared" si="2"/>
        <v>1</v>
      </c>
      <c r="N6" s="27" t="str">
        <f t="shared" si="3"/>
        <v>Alone</v>
      </c>
      <c r="O6" s="27" t="str">
        <f t="shared" si="4"/>
        <v>Low Fare</v>
      </c>
      <c r="P6" s="27" t="str">
        <f t="shared" si="5"/>
        <v>Third Class</v>
      </c>
      <c r="Q6" s="27">
        <f t="shared" si="6"/>
        <v>1</v>
      </c>
    </row>
    <row r="7" spans="1:17" x14ac:dyDescent="0.3">
      <c r="A7" s="16">
        <v>6</v>
      </c>
      <c r="B7" s="16">
        <v>0</v>
      </c>
      <c r="C7" s="16">
        <v>3</v>
      </c>
      <c r="D7" s="11" t="s">
        <v>22</v>
      </c>
      <c r="E7" s="11" t="s">
        <v>11</v>
      </c>
      <c r="F7" s="25">
        <v>26</v>
      </c>
      <c r="G7" s="16">
        <v>0</v>
      </c>
      <c r="H7" s="16">
        <v>0</v>
      </c>
      <c r="I7" s="11" t="s">
        <v>23</v>
      </c>
      <c r="J7" s="21">
        <v>8.4582999999999995</v>
      </c>
      <c r="K7" s="27" t="str">
        <f t="shared" si="0"/>
        <v>Died</v>
      </c>
      <c r="L7" s="27" t="str">
        <f t="shared" si="1"/>
        <v>Young Adult</v>
      </c>
      <c r="M7" s="28">
        <f t="shared" si="2"/>
        <v>1</v>
      </c>
      <c r="N7" s="27" t="str">
        <f t="shared" si="3"/>
        <v>Alone</v>
      </c>
      <c r="O7" s="27" t="str">
        <f t="shared" si="4"/>
        <v>Low Fare</v>
      </c>
      <c r="P7" s="27" t="str">
        <f t="shared" si="5"/>
        <v>Third Class</v>
      </c>
      <c r="Q7" s="27">
        <f t="shared" si="6"/>
        <v>1</v>
      </c>
    </row>
    <row r="8" spans="1:17" x14ac:dyDescent="0.3">
      <c r="A8" s="15">
        <v>7</v>
      </c>
      <c r="B8" s="15">
        <v>0</v>
      </c>
      <c r="C8" s="15">
        <v>1</v>
      </c>
      <c r="D8" s="8" t="s">
        <v>24</v>
      </c>
      <c r="E8" s="8" t="s">
        <v>11</v>
      </c>
      <c r="F8" s="24">
        <v>54</v>
      </c>
      <c r="G8" s="15">
        <v>0</v>
      </c>
      <c r="H8" s="15">
        <v>0</v>
      </c>
      <c r="I8" s="8" t="s">
        <v>25</v>
      </c>
      <c r="J8" s="20">
        <v>51.862499999999997</v>
      </c>
      <c r="K8" s="27" t="str">
        <f t="shared" si="0"/>
        <v>Died</v>
      </c>
      <c r="L8" s="27" t="str">
        <f t="shared" si="1"/>
        <v>Adult</v>
      </c>
      <c r="M8" s="28">
        <f t="shared" si="2"/>
        <v>1</v>
      </c>
      <c r="N8" s="27" t="str">
        <f t="shared" si="3"/>
        <v>Alone</v>
      </c>
      <c r="O8" s="27" t="str">
        <f t="shared" si="4"/>
        <v>Medium Fare</v>
      </c>
      <c r="P8" s="27" t="str">
        <f t="shared" si="5"/>
        <v>First Class</v>
      </c>
      <c r="Q8" s="27">
        <f t="shared" si="6"/>
        <v>1</v>
      </c>
    </row>
    <row r="9" spans="1:17" x14ac:dyDescent="0.3">
      <c r="A9" s="16">
        <v>8</v>
      </c>
      <c r="B9" s="16">
        <v>0</v>
      </c>
      <c r="C9" s="16">
        <v>3</v>
      </c>
      <c r="D9" s="11" t="s">
        <v>26</v>
      </c>
      <c r="E9" s="11" t="s">
        <v>11</v>
      </c>
      <c r="F9" s="25">
        <v>2</v>
      </c>
      <c r="G9" s="16">
        <v>3</v>
      </c>
      <c r="H9" s="16">
        <v>1</v>
      </c>
      <c r="I9" s="11" t="s">
        <v>27</v>
      </c>
      <c r="J9" s="21">
        <v>21.074999999999999</v>
      </c>
      <c r="K9" s="27" t="str">
        <f t="shared" si="0"/>
        <v>Died</v>
      </c>
      <c r="L9" s="27" t="str">
        <f t="shared" si="1"/>
        <v>Child</v>
      </c>
      <c r="M9" s="28">
        <f t="shared" si="2"/>
        <v>5</v>
      </c>
      <c r="N9" s="27" t="str">
        <f t="shared" si="3"/>
        <v>Large Family</v>
      </c>
      <c r="O9" s="27" t="str">
        <f t="shared" si="4"/>
        <v>Low Fare</v>
      </c>
      <c r="P9" s="27" t="str">
        <f t="shared" si="5"/>
        <v>Third Class</v>
      </c>
      <c r="Q9" s="27">
        <f t="shared" si="6"/>
        <v>1</v>
      </c>
    </row>
    <row r="10" spans="1:17" x14ac:dyDescent="0.3">
      <c r="A10" s="15">
        <v>9</v>
      </c>
      <c r="B10" s="15">
        <v>1</v>
      </c>
      <c r="C10" s="15">
        <v>3</v>
      </c>
      <c r="D10" s="8" t="s">
        <v>28</v>
      </c>
      <c r="E10" s="8" t="s">
        <v>14</v>
      </c>
      <c r="F10" s="24">
        <v>27</v>
      </c>
      <c r="G10" s="15">
        <v>0</v>
      </c>
      <c r="H10" s="15">
        <v>2</v>
      </c>
      <c r="I10" s="8" t="s">
        <v>29</v>
      </c>
      <c r="J10" s="20">
        <v>11.1333</v>
      </c>
      <c r="K10" s="27" t="str">
        <f t="shared" si="0"/>
        <v>Survived</v>
      </c>
      <c r="L10" s="27" t="str">
        <f t="shared" si="1"/>
        <v>Young Adult</v>
      </c>
      <c r="M10" s="28">
        <f t="shared" si="2"/>
        <v>3</v>
      </c>
      <c r="N10" s="27" t="str">
        <f t="shared" si="3"/>
        <v>Small Family</v>
      </c>
      <c r="O10" s="27" t="str">
        <f t="shared" si="4"/>
        <v>Low Fare</v>
      </c>
      <c r="P10" s="27" t="str">
        <f t="shared" si="5"/>
        <v>Third Class</v>
      </c>
      <c r="Q10" s="27">
        <f t="shared" si="6"/>
        <v>2</v>
      </c>
    </row>
    <row r="11" spans="1:17" x14ac:dyDescent="0.3">
      <c r="A11" s="16">
        <v>10</v>
      </c>
      <c r="B11" s="16">
        <v>1</v>
      </c>
      <c r="C11" s="16">
        <v>2</v>
      </c>
      <c r="D11" s="11" t="s">
        <v>30</v>
      </c>
      <c r="E11" s="11" t="s">
        <v>14</v>
      </c>
      <c r="F11" s="25">
        <v>14</v>
      </c>
      <c r="G11" s="16">
        <v>1</v>
      </c>
      <c r="H11" s="16">
        <v>0</v>
      </c>
      <c r="I11" s="11" t="s">
        <v>31</v>
      </c>
      <c r="J11" s="21">
        <v>30.070799999999998</v>
      </c>
      <c r="K11" s="27" t="str">
        <f t="shared" si="0"/>
        <v>Survived</v>
      </c>
      <c r="L11" s="27" t="str">
        <f t="shared" si="1"/>
        <v>Child</v>
      </c>
      <c r="M11" s="28">
        <f t="shared" si="2"/>
        <v>2</v>
      </c>
      <c r="N11" s="27" t="str">
        <f t="shared" si="3"/>
        <v>Small Family</v>
      </c>
      <c r="O11" s="27" t="str">
        <f t="shared" si="4"/>
        <v>Medium Fare</v>
      </c>
      <c r="P11" s="27" t="str">
        <f t="shared" si="5"/>
        <v>Second Class</v>
      </c>
      <c r="Q11" s="27">
        <f t="shared" si="6"/>
        <v>2</v>
      </c>
    </row>
    <row r="12" spans="1:17" x14ac:dyDescent="0.3">
      <c r="A12" s="15">
        <v>11</v>
      </c>
      <c r="B12" s="15">
        <v>1</v>
      </c>
      <c r="C12" s="15">
        <v>3</v>
      </c>
      <c r="D12" s="8" t="s">
        <v>32</v>
      </c>
      <c r="E12" s="8" t="s">
        <v>14</v>
      </c>
      <c r="F12" s="24">
        <v>4</v>
      </c>
      <c r="G12" s="15">
        <v>1</v>
      </c>
      <c r="H12" s="15">
        <v>1</v>
      </c>
      <c r="I12" s="8" t="s">
        <v>33</v>
      </c>
      <c r="J12" s="20">
        <v>16.7</v>
      </c>
      <c r="K12" s="27" t="str">
        <f t="shared" si="0"/>
        <v>Survived</v>
      </c>
      <c r="L12" s="27" t="str">
        <f t="shared" si="1"/>
        <v>Child</v>
      </c>
      <c r="M12" s="28">
        <f t="shared" si="2"/>
        <v>3</v>
      </c>
      <c r="N12" s="27" t="str">
        <f t="shared" si="3"/>
        <v>Small Family</v>
      </c>
      <c r="O12" s="27" t="str">
        <f t="shared" si="4"/>
        <v>Low Fare</v>
      </c>
      <c r="P12" s="27" t="str">
        <f t="shared" si="5"/>
        <v>Third Class</v>
      </c>
      <c r="Q12" s="27">
        <f t="shared" si="6"/>
        <v>2</v>
      </c>
    </row>
    <row r="13" spans="1:17" x14ac:dyDescent="0.3">
      <c r="A13" s="16">
        <v>12</v>
      </c>
      <c r="B13" s="16">
        <v>1</v>
      </c>
      <c r="C13" s="16">
        <v>1</v>
      </c>
      <c r="D13" s="11" t="s">
        <v>34</v>
      </c>
      <c r="E13" s="11" t="s">
        <v>14</v>
      </c>
      <c r="F13" s="25">
        <v>58</v>
      </c>
      <c r="G13" s="16">
        <v>0</v>
      </c>
      <c r="H13" s="16">
        <v>0</v>
      </c>
      <c r="I13" s="11" t="s">
        <v>35</v>
      </c>
      <c r="J13" s="21">
        <v>26.55</v>
      </c>
      <c r="K13" s="27" t="str">
        <f t="shared" si="0"/>
        <v>Survived</v>
      </c>
      <c r="L13" s="27" t="str">
        <f t="shared" si="1"/>
        <v>Adult</v>
      </c>
      <c r="M13" s="28">
        <f t="shared" si="2"/>
        <v>1</v>
      </c>
      <c r="N13" s="27" t="str">
        <f t="shared" si="3"/>
        <v>Alone</v>
      </c>
      <c r="O13" s="27" t="str">
        <f t="shared" si="4"/>
        <v>Medium Fare</v>
      </c>
      <c r="P13" s="27" t="str">
        <f t="shared" si="5"/>
        <v>First Class</v>
      </c>
      <c r="Q13" s="27">
        <f t="shared" si="6"/>
        <v>2</v>
      </c>
    </row>
    <row r="14" spans="1:17" x14ac:dyDescent="0.3">
      <c r="A14" s="15">
        <v>13</v>
      </c>
      <c r="B14" s="15">
        <v>0</v>
      </c>
      <c r="C14" s="15">
        <v>3</v>
      </c>
      <c r="D14" s="8" t="s">
        <v>36</v>
      </c>
      <c r="E14" s="8" t="s">
        <v>11</v>
      </c>
      <c r="F14" s="24">
        <v>20</v>
      </c>
      <c r="G14" s="15">
        <v>0</v>
      </c>
      <c r="H14" s="15">
        <v>0</v>
      </c>
      <c r="I14" s="8" t="s">
        <v>37</v>
      </c>
      <c r="J14" s="20">
        <v>8.0500000000000007</v>
      </c>
      <c r="K14" s="27" t="str">
        <f t="shared" si="0"/>
        <v>Died</v>
      </c>
      <c r="L14" s="27" t="str">
        <f t="shared" si="1"/>
        <v>Young Adult</v>
      </c>
      <c r="M14" s="28">
        <f t="shared" si="2"/>
        <v>1</v>
      </c>
      <c r="N14" s="27" t="str">
        <f t="shared" si="3"/>
        <v>Alone</v>
      </c>
      <c r="O14" s="27" t="str">
        <f t="shared" si="4"/>
        <v>Low Fare</v>
      </c>
      <c r="P14" s="27" t="str">
        <f t="shared" si="5"/>
        <v>Third Class</v>
      </c>
      <c r="Q14" s="27">
        <f t="shared" si="6"/>
        <v>1</v>
      </c>
    </row>
    <row r="15" spans="1:17" x14ac:dyDescent="0.3">
      <c r="A15" s="16">
        <v>14</v>
      </c>
      <c r="B15" s="16">
        <v>0</v>
      </c>
      <c r="C15" s="16">
        <v>3</v>
      </c>
      <c r="D15" s="11" t="s">
        <v>38</v>
      </c>
      <c r="E15" s="11" t="s">
        <v>11</v>
      </c>
      <c r="F15" s="25">
        <v>39</v>
      </c>
      <c r="G15" s="16">
        <v>1</v>
      </c>
      <c r="H15" s="16">
        <v>5</v>
      </c>
      <c r="I15" s="11" t="s">
        <v>39</v>
      </c>
      <c r="J15" s="21">
        <v>31.274999999999999</v>
      </c>
      <c r="K15" s="27" t="str">
        <f t="shared" si="0"/>
        <v>Died</v>
      </c>
      <c r="L15" s="27" t="str">
        <f t="shared" si="1"/>
        <v>Adult</v>
      </c>
      <c r="M15" s="28">
        <f t="shared" si="2"/>
        <v>7</v>
      </c>
      <c r="N15" s="27" t="str">
        <f t="shared" si="3"/>
        <v>Large Family</v>
      </c>
      <c r="O15" s="27" t="str">
        <f t="shared" si="4"/>
        <v>Medium Fare</v>
      </c>
      <c r="P15" s="27" t="str">
        <f t="shared" si="5"/>
        <v>Third Class</v>
      </c>
      <c r="Q15" s="27">
        <f t="shared" si="6"/>
        <v>1</v>
      </c>
    </row>
    <row r="16" spans="1:17" x14ac:dyDescent="0.3">
      <c r="A16" s="15">
        <v>15</v>
      </c>
      <c r="B16" s="15">
        <v>0</v>
      </c>
      <c r="C16" s="15">
        <v>3</v>
      </c>
      <c r="D16" s="8" t="s">
        <v>40</v>
      </c>
      <c r="E16" s="8" t="s">
        <v>14</v>
      </c>
      <c r="F16" s="24">
        <v>14</v>
      </c>
      <c r="G16" s="15">
        <v>0</v>
      </c>
      <c r="H16" s="15">
        <v>0</v>
      </c>
      <c r="I16" s="8" t="s">
        <v>41</v>
      </c>
      <c r="J16" s="20">
        <v>7.8541999999999996</v>
      </c>
      <c r="K16" s="27" t="str">
        <f t="shared" si="0"/>
        <v>Died</v>
      </c>
      <c r="L16" s="27" t="str">
        <f t="shared" si="1"/>
        <v>Child</v>
      </c>
      <c r="M16" s="28">
        <f t="shared" si="2"/>
        <v>1</v>
      </c>
      <c r="N16" s="27" t="str">
        <f t="shared" si="3"/>
        <v>Alone</v>
      </c>
      <c r="O16" s="27" t="str">
        <f t="shared" si="4"/>
        <v>Low Fare</v>
      </c>
      <c r="P16" s="27" t="str">
        <f t="shared" si="5"/>
        <v>Third Class</v>
      </c>
      <c r="Q16" s="27">
        <f t="shared" si="6"/>
        <v>2</v>
      </c>
    </row>
    <row r="17" spans="1:17" x14ac:dyDescent="0.3">
      <c r="A17" s="16">
        <v>16</v>
      </c>
      <c r="B17" s="16">
        <v>1</v>
      </c>
      <c r="C17" s="16">
        <v>2</v>
      </c>
      <c r="D17" s="11" t="s">
        <v>42</v>
      </c>
      <c r="E17" s="11" t="s">
        <v>14</v>
      </c>
      <c r="F17" s="25">
        <v>55</v>
      </c>
      <c r="G17" s="16">
        <v>0</v>
      </c>
      <c r="H17" s="16">
        <v>0</v>
      </c>
      <c r="I17" s="11" t="s">
        <v>43</v>
      </c>
      <c r="J17" s="21">
        <v>16</v>
      </c>
      <c r="K17" s="27" t="str">
        <f t="shared" si="0"/>
        <v>Survived</v>
      </c>
      <c r="L17" s="27" t="str">
        <f t="shared" si="1"/>
        <v>Adult</v>
      </c>
      <c r="M17" s="28">
        <f t="shared" si="2"/>
        <v>1</v>
      </c>
      <c r="N17" s="27" t="str">
        <f t="shared" si="3"/>
        <v>Alone</v>
      </c>
      <c r="O17" s="27" t="str">
        <f t="shared" si="4"/>
        <v>Low Fare</v>
      </c>
      <c r="P17" s="27" t="str">
        <f t="shared" si="5"/>
        <v>Second Class</v>
      </c>
      <c r="Q17" s="27">
        <f t="shared" si="6"/>
        <v>2</v>
      </c>
    </row>
    <row r="18" spans="1:17" x14ac:dyDescent="0.3">
      <c r="A18" s="15">
        <v>17</v>
      </c>
      <c r="B18" s="15">
        <v>0</v>
      </c>
      <c r="C18" s="15">
        <v>3</v>
      </c>
      <c r="D18" s="8" t="s">
        <v>44</v>
      </c>
      <c r="E18" s="8" t="s">
        <v>11</v>
      </c>
      <c r="F18" s="24">
        <v>2</v>
      </c>
      <c r="G18" s="15">
        <v>4</v>
      </c>
      <c r="H18" s="15">
        <v>1</v>
      </c>
      <c r="I18" s="8" t="s">
        <v>45</v>
      </c>
      <c r="J18" s="20">
        <v>29.125</v>
      </c>
      <c r="K18" s="27" t="str">
        <f t="shared" si="0"/>
        <v>Died</v>
      </c>
      <c r="L18" s="27" t="str">
        <f t="shared" si="1"/>
        <v>Child</v>
      </c>
      <c r="M18" s="28">
        <f t="shared" si="2"/>
        <v>6</v>
      </c>
      <c r="N18" s="27" t="str">
        <f t="shared" si="3"/>
        <v>Large Family</v>
      </c>
      <c r="O18" s="27" t="str">
        <f t="shared" si="4"/>
        <v>Medium Fare</v>
      </c>
      <c r="P18" s="27" t="str">
        <f t="shared" si="5"/>
        <v>Third Class</v>
      </c>
      <c r="Q18" s="27">
        <f t="shared" si="6"/>
        <v>1</v>
      </c>
    </row>
    <row r="19" spans="1:17" x14ac:dyDescent="0.3">
      <c r="A19" s="16">
        <v>18</v>
      </c>
      <c r="B19" s="16">
        <v>1</v>
      </c>
      <c r="C19" s="16">
        <v>2</v>
      </c>
      <c r="D19" s="11" t="s">
        <v>46</v>
      </c>
      <c r="E19" s="11" t="s">
        <v>11</v>
      </c>
      <c r="F19" s="25">
        <v>26</v>
      </c>
      <c r="G19" s="16">
        <v>0</v>
      </c>
      <c r="H19" s="16">
        <v>0</v>
      </c>
      <c r="I19" s="11" t="s">
        <v>47</v>
      </c>
      <c r="J19" s="21">
        <v>13</v>
      </c>
      <c r="K19" s="27" t="str">
        <f t="shared" si="0"/>
        <v>Survived</v>
      </c>
      <c r="L19" s="27" t="str">
        <f t="shared" si="1"/>
        <v>Young Adult</v>
      </c>
      <c r="M19" s="28">
        <f t="shared" si="2"/>
        <v>1</v>
      </c>
      <c r="N19" s="27" t="str">
        <f t="shared" si="3"/>
        <v>Alone</v>
      </c>
      <c r="O19" s="27" t="str">
        <f t="shared" si="4"/>
        <v>Low Fare</v>
      </c>
      <c r="P19" s="27" t="str">
        <f t="shared" si="5"/>
        <v>Second Class</v>
      </c>
      <c r="Q19" s="27">
        <f t="shared" si="6"/>
        <v>1</v>
      </c>
    </row>
    <row r="20" spans="1:17" x14ac:dyDescent="0.3">
      <c r="A20" s="15">
        <v>19</v>
      </c>
      <c r="B20" s="15">
        <v>0</v>
      </c>
      <c r="C20" s="15">
        <v>3</v>
      </c>
      <c r="D20" s="8" t="s">
        <v>48</v>
      </c>
      <c r="E20" s="8" t="s">
        <v>14</v>
      </c>
      <c r="F20" s="24">
        <v>31</v>
      </c>
      <c r="G20" s="15">
        <v>1</v>
      </c>
      <c r="H20" s="15">
        <v>0</v>
      </c>
      <c r="I20" s="8" t="s">
        <v>49</v>
      </c>
      <c r="J20" s="20">
        <v>18</v>
      </c>
      <c r="K20" s="27" t="str">
        <f t="shared" si="0"/>
        <v>Died</v>
      </c>
      <c r="L20" s="27" t="str">
        <f t="shared" si="1"/>
        <v>Young Adult</v>
      </c>
      <c r="M20" s="28">
        <f t="shared" si="2"/>
        <v>2</v>
      </c>
      <c r="N20" s="27" t="str">
        <f t="shared" si="3"/>
        <v>Small Family</v>
      </c>
      <c r="O20" s="27" t="str">
        <f t="shared" si="4"/>
        <v>Low Fare</v>
      </c>
      <c r="P20" s="27" t="str">
        <f t="shared" si="5"/>
        <v>Third Class</v>
      </c>
      <c r="Q20" s="27">
        <f t="shared" si="6"/>
        <v>2</v>
      </c>
    </row>
    <row r="21" spans="1:17" x14ac:dyDescent="0.3">
      <c r="A21" s="16">
        <v>20</v>
      </c>
      <c r="B21" s="16">
        <v>1</v>
      </c>
      <c r="C21" s="16">
        <v>3</v>
      </c>
      <c r="D21" s="11" t="s">
        <v>50</v>
      </c>
      <c r="E21" s="11" t="s">
        <v>14</v>
      </c>
      <c r="F21" s="25">
        <v>26</v>
      </c>
      <c r="G21" s="16">
        <v>0</v>
      </c>
      <c r="H21" s="16">
        <v>0</v>
      </c>
      <c r="I21" s="11" t="s">
        <v>51</v>
      </c>
      <c r="J21" s="21">
        <v>7.2249999999999996</v>
      </c>
      <c r="K21" s="27" t="str">
        <f t="shared" si="0"/>
        <v>Survived</v>
      </c>
      <c r="L21" s="27" t="str">
        <f t="shared" si="1"/>
        <v>Young Adult</v>
      </c>
      <c r="M21" s="28">
        <f t="shared" si="2"/>
        <v>1</v>
      </c>
      <c r="N21" s="27" t="str">
        <f t="shared" si="3"/>
        <v>Alone</v>
      </c>
      <c r="O21" s="27" t="str">
        <f t="shared" si="4"/>
        <v>Low Fare</v>
      </c>
      <c r="P21" s="27" t="str">
        <f t="shared" si="5"/>
        <v>Third Class</v>
      </c>
      <c r="Q21" s="27">
        <f t="shared" si="6"/>
        <v>2</v>
      </c>
    </row>
    <row r="22" spans="1:17" x14ac:dyDescent="0.3">
      <c r="A22" s="15">
        <v>21</v>
      </c>
      <c r="B22" s="15">
        <v>0</v>
      </c>
      <c r="C22" s="15">
        <v>2</v>
      </c>
      <c r="D22" s="8" t="s">
        <v>52</v>
      </c>
      <c r="E22" s="8" t="s">
        <v>11</v>
      </c>
      <c r="F22" s="24">
        <v>35</v>
      </c>
      <c r="G22" s="15">
        <v>0</v>
      </c>
      <c r="H22" s="15">
        <v>0</v>
      </c>
      <c r="I22" s="8" t="s">
        <v>53</v>
      </c>
      <c r="J22" s="20">
        <v>26</v>
      </c>
      <c r="K22" s="27" t="str">
        <f t="shared" si="0"/>
        <v>Died</v>
      </c>
      <c r="L22" s="27" t="str">
        <f t="shared" si="1"/>
        <v>Adult</v>
      </c>
      <c r="M22" s="28">
        <f t="shared" si="2"/>
        <v>1</v>
      </c>
      <c r="N22" s="27" t="str">
        <f t="shared" si="3"/>
        <v>Alone</v>
      </c>
      <c r="O22" s="27" t="str">
        <f t="shared" si="4"/>
        <v>Medium Fare</v>
      </c>
      <c r="P22" s="27" t="str">
        <f t="shared" si="5"/>
        <v>Second Class</v>
      </c>
      <c r="Q22" s="27">
        <f t="shared" si="6"/>
        <v>1</v>
      </c>
    </row>
    <row r="23" spans="1:17" x14ac:dyDescent="0.3">
      <c r="A23" s="16">
        <v>22</v>
      </c>
      <c r="B23" s="16">
        <v>1</v>
      </c>
      <c r="C23" s="16">
        <v>2</v>
      </c>
      <c r="D23" s="11" t="s">
        <v>54</v>
      </c>
      <c r="E23" s="11" t="s">
        <v>11</v>
      </c>
      <c r="F23" s="25">
        <v>34</v>
      </c>
      <c r="G23" s="16">
        <v>0</v>
      </c>
      <c r="H23" s="16">
        <v>0</v>
      </c>
      <c r="I23" s="11" t="s">
        <v>55</v>
      </c>
      <c r="J23" s="21">
        <v>13</v>
      </c>
      <c r="K23" s="27" t="str">
        <f t="shared" si="0"/>
        <v>Survived</v>
      </c>
      <c r="L23" s="27" t="str">
        <f t="shared" si="1"/>
        <v>Young Adult</v>
      </c>
      <c r="M23" s="28">
        <f t="shared" si="2"/>
        <v>1</v>
      </c>
      <c r="N23" s="27" t="str">
        <f t="shared" si="3"/>
        <v>Alone</v>
      </c>
      <c r="O23" s="27" t="str">
        <f t="shared" si="4"/>
        <v>Low Fare</v>
      </c>
      <c r="P23" s="27" t="str">
        <f t="shared" si="5"/>
        <v>Second Class</v>
      </c>
      <c r="Q23" s="27">
        <f t="shared" si="6"/>
        <v>1</v>
      </c>
    </row>
    <row r="24" spans="1:17" x14ac:dyDescent="0.3">
      <c r="A24" s="15">
        <v>23</v>
      </c>
      <c r="B24" s="15">
        <v>1</v>
      </c>
      <c r="C24" s="15">
        <v>3</v>
      </c>
      <c r="D24" s="8" t="s">
        <v>56</v>
      </c>
      <c r="E24" s="8" t="s">
        <v>14</v>
      </c>
      <c r="F24" s="24">
        <v>15</v>
      </c>
      <c r="G24" s="15">
        <v>0</v>
      </c>
      <c r="H24" s="15">
        <v>0</v>
      </c>
      <c r="I24" s="8" t="s">
        <v>57</v>
      </c>
      <c r="J24" s="20">
        <v>8.0291999999999994</v>
      </c>
      <c r="K24" s="27" t="str">
        <f t="shared" si="0"/>
        <v>Survived</v>
      </c>
      <c r="L24" s="27" t="str">
        <f t="shared" si="1"/>
        <v>Child</v>
      </c>
      <c r="M24" s="28">
        <f t="shared" si="2"/>
        <v>1</v>
      </c>
      <c r="N24" s="27" t="str">
        <f t="shared" si="3"/>
        <v>Alone</v>
      </c>
      <c r="O24" s="27" t="str">
        <f t="shared" si="4"/>
        <v>Low Fare</v>
      </c>
      <c r="P24" s="27" t="str">
        <f t="shared" si="5"/>
        <v>Third Class</v>
      </c>
      <c r="Q24" s="27">
        <f t="shared" si="6"/>
        <v>2</v>
      </c>
    </row>
    <row r="25" spans="1:17" x14ac:dyDescent="0.3">
      <c r="A25" s="16">
        <v>24</v>
      </c>
      <c r="B25" s="16">
        <v>1</v>
      </c>
      <c r="C25" s="16">
        <v>1</v>
      </c>
      <c r="D25" s="11" t="s">
        <v>58</v>
      </c>
      <c r="E25" s="11" t="s">
        <v>11</v>
      </c>
      <c r="F25" s="25">
        <v>28</v>
      </c>
      <c r="G25" s="16">
        <v>0</v>
      </c>
      <c r="H25" s="16">
        <v>0</v>
      </c>
      <c r="I25" s="11" t="s">
        <v>59</v>
      </c>
      <c r="J25" s="21">
        <v>35.5</v>
      </c>
      <c r="K25" s="27" t="str">
        <f t="shared" si="0"/>
        <v>Survived</v>
      </c>
      <c r="L25" s="27" t="str">
        <f t="shared" si="1"/>
        <v>Young Adult</v>
      </c>
      <c r="M25" s="28">
        <f t="shared" si="2"/>
        <v>1</v>
      </c>
      <c r="N25" s="27" t="str">
        <f t="shared" si="3"/>
        <v>Alone</v>
      </c>
      <c r="O25" s="27" t="str">
        <f t="shared" si="4"/>
        <v>Medium Fare</v>
      </c>
      <c r="P25" s="27" t="str">
        <f t="shared" si="5"/>
        <v>First Class</v>
      </c>
      <c r="Q25" s="27">
        <f t="shared" si="6"/>
        <v>1</v>
      </c>
    </row>
    <row r="26" spans="1:17" x14ac:dyDescent="0.3">
      <c r="A26" s="15">
        <v>25</v>
      </c>
      <c r="B26" s="15">
        <v>0</v>
      </c>
      <c r="C26" s="15">
        <v>3</v>
      </c>
      <c r="D26" s="8" t="s">
        <v>60</v>
      </c>
      <c r="E26" s="8" t="s">
        <v>14</v>
      </c>
      <c r="F26" s="24">
        <v>8</v>
      </c>
      <c r="G26" s="15">
        <v>3</v>
      </c>
      <c r="H26" s="15">
        <v>1</v>
      </c>
      <c r="I26" s="8" t="s">
        <v>27</v>
      </c>
      <c r="J26" s="20">
        <v>21.074999999999999</v>
      </c>
      <c r="K26" s="27" t="str">
        <f t="shared" si="0"/>
        <v>Died</v>
      </c>
      <c r="L26" s="27" t="str">
        <f t="shared" si="1"/>
        <v>Child</v>
      </c>
      <c r="M26" s="28">
        <f t="shared" si="2"/>
        <v>5</v>
      </c>
      <c r="N26" s="27" t="str">
        <f t="shared" si="3"/>
        <v>Large Family</v>
      </c>
      <c r="O26" s="27" t="str">
        <f t="shared" si="4"/>
        <v>Low Fare</v>
      </c>
      <c r="P26" s="27" t="str">
        <f t="shared" si="5"/>
        <v>Third Class</v>
      </c>
      <c r="Q26" s="27">
        <f t="shared" si="6"/>
        <v>2</v>
      </c>
    </row>
    <row r="27" spans="1:17" x14ac:dyDescent="0.3">
      <c r="A27" s="16">
        <v>26</v>
      </c>
      <c r="B27" s="16">
        <v>1</v>
      </c>
      <c r="C27" s="16">
        <v>3</v>
      </c>
      <c r="D27" s="11" t="s">
        <v>61</v>
      </c>
      <c r="E27" s="11" t="s">
        <v>14</v>
      </c>
      <c r="F27" s="25">
        <v>38</v>
      </c>
      <c r="G27" s="16">
        <v>1</v>
      </c>
      <c r="H27" s="16">
        <v>5</v>
      </c>
      <c r="I27" s="11" t="s">
        <v>62</v>
      </c>
      <c r="J27" s="21">
        <v>31.387499999999999</v>
      </c>
      <c r="K27" s="27" t="str">
        <f t="shared" si="0"/>
        <v>Survived</v>
      </c>
      <c r="L27" s="27" t="str">
        <f t="shared" si="1"/>
        <v>Adult</v>
      </c>
      <c r="M27" s="28">
        <f t="shared" si="2"/>
        <v>7</v>
      </c>
      <c r="N27" s="27" t="str">
        <f t="shared" si="3"/>
        <v>Large Family</v>
      </c>
      <c r="O27" s="27" t="str">
        <f t="shared" si="4"/>
        <v>Medium Fare</v>
      </c>
      <c r="P27" s="27" t="str">
        <f t="shared" si="5"/>
        <v>Third Class</v>
      </c>
      <c r="Q27" s="27">
        <f t="shared" si="6"/>
        <v>2</v>
      </c>
    </row>
    <row r="28" spans="1:17" x14ac:dyDescent="0.3">
      <c r="A28" s="15">
        <v>27</v>
      </c>
      <c r="B28" s="15">
        <v>0</v>
      </c>
      <c r="C28" s="15">
        <v>3</v>
      </c>
      <c r="D28" s="8" t="s">
        <v>63</v>
      </c>
      <c r="E28" s="8" t="s">
        <v>11</v>
      </c>
      <c r="F28" s="24">
        <v>26</v>
      </c>
      <c r="G28" s="15">
        <v>0</v>
      </c>
      <c r="H28" s="15">
        <v>0</v>
      </c>
      <c r="I28" s="8" t="s">
        <v>64</v>
      </c>
      <c r="J28" s="20">
        <v>7.2249999999999996</v>
      </c>
      <c r="K28" s="27" t="str">
        <f t="shared" si="0"/>
        <v>Died</v>
      </c>
      <c r="L28" s="27" t="str">
        <f t="shared" si="1"/>
        <v>Young Adult</v>
      </c>
      <c r="M28" s="28">
        <f t="shared" si="2"/>
        <v>1</v>
      </c>
      <c r="N28" s="27" t="str">
        <f t="shared" si="3"/>
        <v>Alone</v>
      </c>
      <c r="O28" s="27" t="str">
        <f t="shared" si="4"/>
        <v>Low Fare</v>
      </c>
      <c r="P28" s="27" t="str">
        <f t="shared" si="5"/>
        <v>Third Class</v>
      </c>
      <c r="Q28" s="27">
        <f t="shared" si="6"/>
        <v>1</v>
      </c>
    </row>
    <row r="29" spans="1:17" x14ac:dyDescent="0.3">
      <c r="A29" s="16">
        <v>28</v>
      </c>
      <c r="B29" s="16">
        <v>0</v>
      </c>
      <c r="C29" s="16">
        <v>1</v>
      </c>
      <c r="D29" s="11" t="s">
        <v>65</v>
      </c>
      <c r="E29" s="11" t="s">
        <v>11</v>
      </c>
      <c r="F29" s="25">
        <v>19</v>
      </c>
      <c r="G29" s="16">
        <v>3</v>
      </c>
      <c r="H29" s="16">
        <v>2</v>
      </c>
      <c r="I29" s="11" t="s">
        <v>66</v>
      </c>
      <c r="J29" s="21">
        <v>263</v>
      </c>
      <c r="K29" s="27" t="str">
        <f t="shared" si="0"/>
        <v>Died</v>
      </c>
      <c r="L29" s="27" t="str">
        <f t="shared" si="1"/>
        <v>Young Adult</v>
      </c>
      <c r="M29" s="28">
        <f t="shared" si="2"/>
        <v>6</v>
      </c>
      <c r="N29" s="27" t="str">
        <f t="shared" si="3"/>
        <v>Large Family</v>
      </c>
      <c r="O29" s="27" t="str">
        <f t="shared" si="4"/>
        <v>High Fare</v>
      </c>
      <c r="P29" s="27" t="str">
        <f t="shared" si="5"/>
        <v>First Class</v>
      </c>
      <c r="Q29" s="27">
        <f t="shared" si="6"/>
        <v>1</v>
      </c>
    </row>
    <row r="30" spans="1:17" x14ac:dyDescent="0.3">
      <c r="A30" s="15">
        <v>29</v>
      </c>
      <c r="B30" s="15">
        <v>1</v>
      </c>
      <c r="C30" s="15">
        <v>3</v>
      </c>
      <c r="D30" s="8" t="s">
        <v>67</v>
      </c>
      <c r="E30" s="8" t="s">
        <v>14</v>
      </c>
      <c r="F30" s="24">
        <v>26</v>
      </c>
      <c r="G30" s="15">
        <v>0</v>
      </c>
      <c r="H30" s="15">
        <v>0</v>
      </c>
      <c r="I30" s="8" t="s">
        <v>68</v>
      </c>
      <c r="J30" s="20">
        <v>7.8792</v>
      </c>
      <c r="K30" s="27" t="str">
        <f t="shared" si="0"/>
        <v>Survived</v>
      </c>
      <c r="L30" s="27" t="str">
        <f t="shared" si="1"/>
        <v>Young Adult</v>
      </c>
      <c r="M30" s="28">
        <f t="shared" si="2"/>
        <v>1</v>
      </c>
      <c r="N30" s="27" t="str">
        <f t="shared" si="3"/>
        <v>Alone</v>
      </c>
      <c r="O30" s="27" t="str">
        <f t="shared" si="4"/>
        <v>Low Fare</v>
      </c>
      <c r="P30" s="27" t="str">
        <f t="shared" si="5"/>
        <v>Third Class</v>
      </c>
      <c r="Q30" s="27">
        <f t="shared" si="6"/>
        <v>2</v>
      </c>
    </row>
    <row r="31" spans="1:17" x14ac:dyDescent="0.3">
      <c r="A31" s="16">
        <v>30</v>
      </c>
      <c r="B31" s="16">
        <v>0</v>
      </c>
      <c r="C31" s="16">
        <v>3</v>
      </c>
      <c r="D31" s="11" t="s">
        <v>69</v>
      </c>
      <c r="E31" s="11" t="s">
        <v>11</v>
      </c>
      <c r="F31" s="25">
        <v>26</v>
      </c>
      <c r="G31" s="16">
        <v>0</v>
      </c>
      <c r="H31" s="16">
        <v>0</v>
      </c>
      <c r="I31" s="11" t="s">
        <v>70</v>
      </c>
      <c r="J31" s="21">
        <v>7.8958000000000004</v>
      </c>
      <c r="K31" s="27" t="str">
        <f t="shared" si="0"/>
        <v>Died</v>
      </c>
      <c r="L31" s="27" t="str">
        <f t="shared" si="1"/>
        <v>Young Adult</v>
      </c>
      <c r="M31" s="28">
        <f t="shared" si="2"/>
        <v>1</v>
      </c>
      <c r="N31" s="27" t="str">
        <f t="shared" si="3"/>
        <v>Alone</v>
      </c>
      <c r="O31" s="27" t="str">
        <f t="shared" si="4"/>
        <v>Low Fare</v>
      </c>
      <c r="P31" s="27" t="str">
        <f t="shared" si="5"/>
        <v>Third Class</v>
      </c>
      <c r="Q31" s="27">
        <f t="shared" si="6"/>
        <v>1</v>
      </c>
    </row>
    <row r="32" spans="1:17" x14ac:dyDescent="0.3">
      <c r="A32" s="15">
        <v>31</v>
      </c>
      <c r="B32" s="15">
        <v>0</v>
      </c>
      <c r="C32" s="15">
        <v>1</v>
      </c>
      <c r="D32" s="8" t="s">
        <v>71</v>
      </c>
      <c r="E32" s="8" t="s">
        <v>11</v>
      </c>
      <c r="F32" s="24">
        <v>40</v>
      </c>
      <c r="G32" s="15">
        <v>0</v>
      </c>
      <c r="H32" s="15">
        <v>0</v>
      </c>
      <c r="I32" s="8" t="s">
        <v>72</v>
      </c>
      <c r="J32" s="20">
        <v>27.720800000000001</v>
      </c>
      <c r="K32" s="27" t="str">
        <f t="shared" si="0"/>
        <v>Died</v>
      </c>
      <c r="L32" s="27" t="str">
        <f t="shared" si="1"/>
        <v>Adult</v>
      </c>
      <c r="M32" s="28">
        <f t="shared" si="2"/>
        <v>1</v>
      </c>
      <c r="N32" s="27" t="str">
        <f t="shared" si="3"/>
        <v>Alone</v>
      </c>
      <c r="O32" s="27" t="str">
        <f t="shared" si="4"/>
        <v>Medium Fare</v>
      </c>
      <c r="P32" s="27" t="str">
        <f t="shared" si="5"/>
        <v>First Class</v>
      </c>
      <c r="Q32" s="27">
        <f t="shared" si="6"/>
        <v>1</v>
      </c>
    </row>
    <row r="33" spans="1:17" x14ac:dyDescent="0.3">
      <c r="A33" s="16">
        <v>32</v>
      </c>
      <c r="B33" s="16">
        <v>1</v>
      </c>
      <c r="C33" s="16">
        <v>1</v>
      </c>
      <c r="D33" s="11" t="s">
        <v>73</v>
      </c>
      <c r="E33" s="11" t="s">
        <v>14</v>
      </c>
      <c r="F33" s="25">
        <v>26</v>
      </c>
      <c r="G33" s="16">
        <v>1</v>
      </c>
      <c r="H33" s="16">
        <v>0</v>
      </c>
      <c r="I33" s="11" t="s">
        <v>74</v>
      </c>
      <c r="J33" s="21">
        <v>146.52080000000001</v>
      </c>
      <c r="K33" s="27" t="str">
        <f t="shared" si="0"/>
        <v>Survived</v>
      </c>
      <c r="L33" s="27" t="str">
        <f t="shared" si="1"/>
        <v>Young Adult</v>
      </c>
      <c r="M33" s="28">
        <f t="shared" si="2"/>
        <v>2</v>
      </c>
      <c r="N33" s="27" t="str">
        <f t="shared" si="3"/>
        <v>Small Family</v>
      </c>
      <c r="O33" s="27" t="str">
        <f t="shared" si="4"/>
        <v>High Fare</v>
      </c>
      <c r="P33" s="27" t="str">
        <f t="shared" si="5"/>
        <v>First Class</v>
      </c>
      <c r="Q33" s="27">
        <f t="shared" si="6"/>
        <v>2</v>
      </c>
    </row>
    <row r="34" spans="1:17" x14ac:dyDescent="0.3">
      <c r="A34" s="15">
        <v>33</v>
      </c>
      <c r="B34" s="15">
        <v>1</v>
      </c>
      <c r="C34" s="15">
        <v>3</v>
      </c>
      <c r="D34" s="8" t="s">
        <v>75</v>
      </c>
      <c r="E34" s="8" t="s">
        <v>14</v>
      </c>
      <c r="F34" s="24">
        <v>26</v>
      </c>
      <c r="G34" s="15">
        <v>0</v>
      </c>
      <c r="H34" s="15">
        <v>0</v>
      </c>
      <c r="I34" s="8" t="s">
        <v>76</v>
      </c>
      <c r="J34" s="20">
        <v>7.75</v>
      </c>
      <c r="K34" s="27" t="str">
        <f t="shared" si="0"/>
        <v>Survived</v>
      </c>
      <c r="L34" s="27" t="str">
        <f t="shared" si="1"/>
        <v>Young Adult</v>
      </c>
      <c r="M34" s="28">
        <f t="shared" si="2"/>
        <v>1</v>
      </c>
      <c r="N34" s="27" t="str">
        <f t="shared" si="3"/>
        <v>Alone</v>
      </c>
      <c r="O34" s="27" t="str">
        <f t="shared" si="4"/>
        <v>Low Fare</v>
      </c>
      <c r="P34" s="27" t="str">
        <f t="shared" si="5"/>
        <v>Third Class</v>
      </c>
      <c r="Q34" s="27">
        <f t="shared" si="6"/>
        <v>2</v>
      </c>
    </row>
    <row r="35" spans="1:17" x14ac:dyDescent="0.3">
      <c r="A35" s="16">
        <v>34</v>
      </c>
      <c r="B35" s="16">
        <v>0</v>
      </c>
      <c r="C35" s="16">
        <v>2</v>
      </c>
      <c r="D35" s="11" t="s">
        <v>77</v>
      </c>
      <c r="E35" s="11" t="s">
        <v>11</v>
      </c>
      <c r="F35" s="25">
        <v>66</v>
      </c>
      <c r="G35" s="16">
        <v>0</v>
      </c>
      <c r="H35" s="16">
        <v>0</v>
      </c>
      <c r="I35" s="11" t="s">
        <v>78</v>
      </c>
      <c r="J35" s="21">
        <v>10.5</v>
      </c>
      <c r="K35" s="27" t="str">
        <f t="shared" si="0"/>
        <v>Died</v>
      </c>
      <c r="L35" s="27" t="str">
        <f t="shared" si="1"/>
        <v>Senior</v>
      </c>
      <c r="M35" s="28">
        <f t="shared" si="2"/>
        <v>1</v>
      </c>
      <c r="N35" s="27" t="str">
        <f t="shared" si="3"/>
        <v>Alone</v>
      </c>
      <c r="O35" s="27" t="str">
        <f t="shared" si="4"/>
        <v>Low Fare</v>
      </c>
      <c r="P35" s="27" t="str">
        <f t="shared" si="5"/>
        <v>Second Class</v>
      </c>
      <c r="Q35" s="27">
        <f t="shared" si="6"/>
        <v>1</v>
      </c>
    </row>
    <row r="36" spans="1:17" x14ac:dyDescent="0.3">
      <c r="A36" s="15">
        <v>35</v>
      </c>
      <c r="B36" s="15">
        <v>0</v>
      </c>
      <c r="C36" s="15">
        <v>1</v>
      </c>
      <c r="D36" s="8" t="s">
        <v>79</v>
      </c>
      <c r="E36" s="8" t="s">
        <v>11</v>
      </c>
      <c r="F36" s="24">
        <v>28</v>
      </c>
      <c r="G36" s="15">
        <v>1</v>
      </c>
      <c r="H36" s="15">
        <v>0</v>
      </c>
      <c r="I36" s="8" t="s">
        <v>80</v>
      </c>
      <c r="J36" s="20">
        <v>82.1708</v>
      </c>
      <c r="K36" s="27" t="str">
        <f t="shared" si="0"/>
        <v>Died</v>
      </c>
      <c r="L36" s="27" t="str">
        <f t="shared" si="1"/>
        <v>Young Adult</v>
      </c>
      <c r="M36" s="28">
        <f t="shared" si="2"/>
        <v>2</v>
      </c>
      <c r="N36" s="27" t="str">
        <f t="shared" si="3"/>
        <v>Small Family</v>
      </c>
      <c r="O36" s="27" t="str">
        <f t="shared" si="4"/>
        <v>Medium Fare</v>
      </c>
      <c r="P36" s="27" t="str">
        <f t="shared" si="5"/>
        <v>First Class</v>
      </c>
      <c r="Q36" s="27">
        <f t="shared" si="6"/>
        <v>1</v>
      </c>
    </row>
    <row r="37" spans="1:17" x14ac:dyDescent="0.3">
      <c r="A37" s="16">
        <v>36</v>
      </c>
      <c r="B37" s="16">
        <v>0</v>
      </c>
      <c r="C37" s="16">
        <v>1</v>
      </c>
      <c r="D37" s="11" t="s">
        <v>81</v>
      </c>
      <c r="E37" s="11" t="s">
        <v>11</v>
      </c>
      <c r="F37" s="25">
        <v>42</v>
      </c>
      <c r="G37" s="16">
        <v>1</v>
      </c>
      <c r="H37" s="16">
        <v>0</v>
      </c>
      <c r="I37" s="11" t="s">
        <v>82</v>
      </c>
      <c r="J37" s="21">
        <v>52</v>
      </c>
      <c r="K37" s="27" t="str">
        <f t="shared" si="0"/>
        <v>Died</v>
      </c>
      <c r="L37" s="27" t="str">
        <f t="shared" si="1"/>
        <v>Adult</v>
      </c>
      <c r="M37" s="28">
        <f t="shared" si="2"/>
        <v>2</v>
      </c>
      <c r="N37" s="27" t="str">
        <f t="shared" si="3"/>
        <v>Small Family</v>
      </c>
      <c r="O37" s="27" t="str">
        <f t="shared" si="4"/>
        <v>Medium Fare</v>
      </c>
      <c r="P37" s="27" t="str">
        <f t="shared" si="5"/>
        <v>First Class</v>
      </c>
      <c r="Q37" s="27">
        <f t="shared" si="6"/>
        <v>1</v>
      </c>
    </row>
    <row r="38" spans="1:17" x14ac:dyDescent="0.3">
      <c r="A38" s="15">
        <v>37</v>
      </c>
      <c r="B38" s="15">
        <v>1</v>
      </c>
      <c r="C38" s="15">
        <v>3</v>
      </c>
      <c r="D38" s="8" t="s">
        <v>83</v>
      </c>
      <c r="E38" s="8" t="s">
        <v>11</v>
      </c>
      <c r="F38" s="24">
        <v>26</v>
      </c>
      <c r="G38" s="15">
        <v>0</v>
      </c>
      <c r="H38" s="15">
        <v>0</v>
      </c>
      <c r="I38" s="8" t="s">
        <v>84</v>
      </c>
      <c r="J38" s="20">
        <v>7.2291999999999996</v>
      </c>
      <c r="K38" s="27" t="str">
        <f t="shared" si="0"/>
        <v>Survived</v>
      </c>
      <c r="L38" s="27" t="str">
        <f t="shared" si="1"/>
        <v>Young Adult</v>
      </c>
      <c r="M38" s="28">
        <f t="shared" si="2"/>
        <v>1</v>
      </c>
      <c r="N38" s="27" t="str">
        <f t="shared" si="3"/>
        <v>Alone</v>
      </c>
      <c r="O38" s="27" t="str">
        <f t="shared" si="4"/>
        <v>Low Fare</v>
      </c>
      <c r="P38" s="27" t="str">
        <f t="shared" si="5"/>
        <v>Third Class</v>
      </c>
      <c r="Q38" s="27">
        <f t="shared" si="6"/>
        <v>1</v>
      </c>
    </row>
    <row r="39" spans="1:17" x14ac:dyDescent="0.3">
      <c r="A39" s="16">
        <v>38</v>
      </c>
      <c r="B39" s="16">
        <v>0</v>
      </c>
      <c r="C39" s="16">
        <v>3</v>
      </c>
      <c r="D39" s="11" t="s">
        <v>85</v>
      </c>
      <c r="E39" s="11" t="s">
        <v>11</v>
      </c>
      <c r="F39" s="25">
        <v>21</v>
      </c>
      <c r="G39" s="16">
        <v>0</v>
      </c>
      <c r="H39" s="16">
        <v>0</v>
      </c>
      <c r="I39" s="11" t="s">
        <v>86</v>
      </c>
      <c r="J39" s="21">
        <v>8.0500000000000007</v>
      </c>
      <c r="K39" s="27" t="str">
        <f t="shared" si="0"/>
        <v>Died</v>
      </c>
      <c r="L39" s="27" t="str">
        <f t="shared" si="1"/>
        <v>Young Adult</v>
      </c>
      <c r="M39" s="28">
        <f t="shared" si="2"/>
        <v>1</v>
      </c>
      <c r="N39" s="27" t="str">
        <f t="shared" si="3"/>
        <v>Alone</v>
      </c>
      <c r="O39" s="27" t="str">
        <f t="shared" si="4"/>
        <v>Low Fare</v>
      </c>
      <c r="P39" s="27" t="str">
        <f t="shared" si="5"/>
        <v>Third Class</v>
      </c>
      <c r="Q39" s="27">
        <f t="shared" si="6"/>
        <v>1</v>
      </c>
    </row>
    <row r="40" spans="1:17" x14ac:dyDescent="0.3">
      <c r="A40" s="15">
        <v>39</v>
      </c>
      <c r="B40" s="15">
        <v>0</v>
      </c>
      <c r="C40" s="15">
        <v>3</v>
      </c>
      <c r="D40" s="8" t="s">
        <v>87</v>
      </c>
      <c r="E40" s="8" t="s">
        <v>14</v>
      </c>
      <c r="F40" s="24">
        <v>18</v>
      </c>
      <c r="G40" s="15">
        <v>2</v>
      </c>
      <c r="H40" s="15">
        <v>0</v>
      </c>
      <c r="I40" s="8" t="s">
        <v>88</v>
      </c>
      <c r="J40" s="20">
        <v>18</v>
      </c>
      <c r="K40" s="27" t="str">
        <f t="shared" si="0"/>
        <v>Died</v>
      </c>
      <c r="L40" s="27" t="str">
        <f t="shared" si="1"/>
        <v>Young Adult</v>
      </c>
      <c r="M40" s="28">
        <f t="shared" si="2"/>
        <v>3</v>
      </c>
      <c r="N40" s="27" t="str">
        <f t="shared" si="3"/>
        <v>Small Family</v>
      </c>
      <c r="O40" s="27" t="str">
        <f t="shared" si="4"/>
        <v>Low Fare</v>
      </c>
      <c r="P40" s="27" t="str">
        <f t="shared" si="5"/>
        <v>Third Class</v>
      </c>
      <c r="Q40" s="27">
        <f t="shared" si="6"/>
        <v>2</v>
      </c>
    </row>
    <row r="41" spans="1:17" x14ac:dyDescent="0.3">
      <c r="A41" s="16">
        <v>40</v>
      </c>
      <c r="B41" s="16">
        <v>1</v>
      </c>
      <c r="C41" s="16">
        <v>3</v>
      </c>
      <c r="D41" s="11" t="s">
        <v>89</v>
      </c>
      <c r="E41" s="11" t="s">
        <v>14</v>
      </c>
      <c r="F41" s="25">
        <v>14</v>
      </c>
      <c r="G41" s="16">
        <v>1</v>
      </c>
      <c r="H41" s="16">
        <v>0</v>
      </c>
      <c r="I41" s="11" t="s">
        <v>90</v>
      </c>
      <c r="J41" s="21">
        <v>11.2417</v>
      </c>
      <c r="K41" s="27" t="str">
        <f t="shared" si="0"/>
        <v>Survived</v>
      </c>
      <c r="L41" s="27" t="str">
        <f t="shared" si="1"/>
        <v>Child</v>
      </c>
      <c r="M41" s="28">
        <f t="shared" si="2"/>
        <v>2</v>
      </c>
      <c r="N41" s="27" t="str">
        <f t="shared" si="3"/>
        <v>Small Family</v>
      </c>
      <c r="O41" s="27" t="str">
        <f t="shared" si="4"/>
        <v>Low Fare</v>
      </c>
      <c r="P41" s="27" t="str">
        <f t="shared" si="5"/>
        <v>Third Class</v>
      </c>
      <c r="Q41" s="27">
        <f t="shared" si="6"/>
        <v>2</v>
      </c>
    </row>
    <row r="42" spans="1:17" x14ac:dyDescent="0.3">
      <c r="A42" s="15">
        <v>41</v>
      </c>
      <c r="B42" s="15">
        <v>0</v>
      </c>
      <c r="C42" s="15">
        <v>3</v>
      </c>
      <c r="D42" s="8" t="s">
        <v>91</v>
      </c>
      <c r="E42" s="8" t="s">
        <v>14</v>
      </c>
      <c r="F42" s="24">
        <v>40</v>
      </c>
      <c r="G42" s="15">
        <v>1</v>
      </c>
      <c r="H42" s="15">
        <v>0</v>
      </c>
      <c r="I42" s="8" t="s">
        <v>92</v>
      </c>
      <c r="J42" s="20">
        <v>9.4749999999999996</v>
      </c>
      <c r="K42" s="27" t="str">
        <f t="shared" si="0"/>
        <v>Died</v>
      </c>
      <c r="L42" s="27" t="str">
        <f t="shared" si="1"/>
        <v>Adult</v>
      </c>
      <c r="M42" s="28">
        <f t="shared" si="2"/>
        <v>2</v>
      </c>
      <c r="N42" s="27" t="str">
        <f t="shared" si="3"/>
        <v>Small Family</v>
      </c>
      <c r="O42" s="27" t="str">
        <f t="shared" si="4"/>
        <v>Low Fare</v>
      </c>
      <c r="P42" s="27" t="str">
        <f t="shared" si="5"/>
        <v>Third Class</v>
      </c>
      <c r="Q42" s="27">
        <f t="shared" si="6"/>
        <v>2</v>
      </c>
    </row>
    <row r="43" spans="1:17" x14ac:dyDescent="0.3">
      <c r="A43" s="16">
        <v>42</v>
      </c>
      <c r="B43" s="16">
        <v>0</v>
      </c>
      <c r="C43" s="16">
        <v>2</v>
      </c>
      <c r="D43" s="11" t="s">
        <v>93</v>
      </c>
      <c r="E43" s="11" t="s">
        <v>14</v>
      </c>
      <c r="F43" s="25">
        <v>27</v>
      </c>
      <c r="G43" s="16">
        <v>1</v>
      </c>
      <c r="H43" s="16">
        <v>0</v>
      </c>
      <c r="I43" s="11" t="s">
        <v>94</v>
      </c>
      <c r="J43" s="21">
        <v>21</v>
      </c>
      <c r="K43" s="27" t="str">
        <f t="shared" si="0"/>
        <v>Died</v>
      </c>
      <c r="L43" s="27" t="str">
        <f t="shared" si="1"/>
        <v>Young Adult</v>
      </c>
      <c r="M43" s="28">
        <f t="shared" si="2"/>
        <v>2</v>
      </c>
      <c r="N43" s="27" t="str">
        <f t="shared" si="3"/>
        <v>Small Family</v>
      </c>
      <c r="O43" s="27" t="str">
        <f t="shared" si="4"/>
        <v>Low Fare</v>
      </c>
      <c r="P43" s="27" t="str">
        <f t="shared" si="5"/>
        <v>Second Class</v>
      </c>
      <c r="Q43" s="27">
        <f t="shared" si="6"/>
        <v>2</v>
      </c>
    </row>
    <row r="44" spans="1:17" x14ac:dyDescent="0.3">
      <c r="A44" s="15">
        <v>43</v>
      </c>
      <c r="B44" s="15">
        <v>0</v>
      </c>
      <c r="C44" s="15">
        <v>3</v>
      </c>
      <c r="D44" s="8" t="s">
        <v>95</v>
      </c>
      <c r="E44" s="8" t="s">
        <v>11</v>
      </c>
      <c r="F44" s="24">
        <v>26</v>
      </c>
      <c r="G44" s="15">
        <v>0</v>
      </c>
      <c r="H44" s="15">
        <v>0</v>
      </c>
      <c r="I44" s="8" t="s">
        <v>96</v>
      </c>
      <c r="J44" s="20">
        <v>7.8958000000000004</v>
      </c>
      <c r="K44" s="27" t="str">
        <f t="shared" si="0"/>
        <v>Died</v>
      </c>
      <c r="L44" s="27" t="str">
        <f t="shared" si="1"/>
        <v>Young Adult</v>
      </c>
      <c r="M44" s="28">
        <f t="shared" si="2"/>
        <v>1</v>
      </c>
      <c r="N44" s="27" t="str">
        <f t="shared" si="3"/>
        <v>Alone</v>
      </c>
      <c r="O44" s="27" t="str">
        <f t="shared" si="4"/>
        <v>Low Fare</v>
      </c>
      <c r="P44" s="27" t="str">
        <f t="shared" si="5"/>
        <v>Third Class</v>
      </c>
      <c r="Q44" s="27">
        <f t="shared" si="6"/>
        <v>1</v>
      </c>
    </row>
    <row r="45" spans="1:17" x14ac:dyDescent="0.3">
      <c r="A45" s="16">
        <v>44</v>
      </c>
      <c r="B45" s="16">
        <v>1</v>
      </c>
      <c r="C45" s="16">
        <v>2</v>
      </c>
      <c r="D45" s="11" t="s">
        <v>97</v>
      </c>
      <c r="E45" s="11" t="s">
        <v>14</v>
      </c>
      <c r="F45" s="25">
        <v>3</v>
      </c>
      <c r="G45" s="16">
        <v>1</v>
      </c>
      <c r="H45" s="16">
        <v>2</v>
      </c>
      <c r="I45" s="11" t="s">
        <v>98</v>
      </c>
      <c r="J45" s="21">
        <v>41.5792</v>
      </c>
      <c r="K45" s="27" t="str">
        <f t="shared" si="0"/>
        <v>Survived</v>
      </c>
      <c r="L45" s="27" t="str">
        <f t="shared" si="1"/>
        <v>Child</v>
      </c>
      <c r="M45" s="28">
        <f t="shared" si="2"/>
        <v>4</v>
      </c>
      <c r="N45" s="27" t="str">
        <f t="shared" si="3"/>
        <v>Small Family</v>
      </c>
      <c r="O45" s="27" t="str">
        <f t="shared" si="4"/>
        <v>Medium Fare</v>
      </c>
      <c r="P45" s="27" t="str">
        <f t="shared" si="5"/>
        <v>Second Class</v>
      </c>
      <c r="Q45" s="27">
        <f t="shared" si="6"/>
        <v>2</v>
      </c>
    </row>
    <row r="46" spans="1:17" x14ac:dyDescent="0.3">
      <c r="A46" s="15">
        <v>45</v>
      </c>
      <c r="B46" s="15">
        <v>1</v>
      </c>
      <c r="C46" s="15">
        <v>3</v>
      </c>
      <c r="D46" s="8" t="s">
        <v>99</v>
      </c>
      <c r="E46" s="8" t="s">
        <v>14</v>
      </c>
      <c r="F46" s="24">
        <v>19</v>
      </c>
      <c r="G46" s="15">
        <v>0</v>
      </c>
      <c r="H46" s="15">
        <v>0</v>
      </c>
      <c r="I46" s="8" t="s">
        <v>100</v>
      </c>
      <c r="J46" s="20">
        <v>7.8792</v>
      </c>
      <c r="K46" s="27" t="str">
        <f t="shared" si="0"/>
        <v>Survived</v>
      </c>
      <c r="L46" s="27" t="str">
        <f t="shared" si="1"/>
        <v>Young Adult</v>
      </c>
      <c r="M46" s="28">
        <f t="shared" si="2"/>
        <v>1</v>
      </c>
      <c r="N46" s="27" t="str">
        <f t="shared" si="3"/>
        <v>Alone</v>
      </c>
      <c r="O46" s="27" t="str">
        <f t="shared" si="4"/>
        <v>Low Fare</v>
      </c>
      <c r="P46" s="27" t="str">
        <f t="shared" si="5"/>
        <v>Third Class</v>
      </c>
      <c r="Q46" s="27">
        <f t="shared" si="6"/>
        <v>2</v>
      </c>
    </row>
    <row r="47" spans="1:17" x14ac:dyDescent="0.3">
      <c r="A47" s="16">
        <v>46</v>
      </c>
      <c r="B47" s="16">
        <v>0</v>
      </c>
      <c r="C47" s="16">
        <v>3</v>
      </c>
      <c r="D47" s="11" t="s">
        <v>101</v>
      </c>
      <c r="E47" s="11" t="s">
        <v>11</v>
      </c>
      <c r="F47" s="25">
        <v>26</v>
      </c>
      <c r="G47" s="16">
        <v>0</v>
      </c>
      <c r="H47" s="16">
        <v>0</v>
      </c>
      <c r="I47" s="11" t="s">
        <v>102</v>
      </c>
      <c r="J47" s="21">
        <v>8.0500000000000007</v>
      </c>
      <c r="K47" s="27" t="str">
        <f t="shared" si="0"/>
        <v>Died</v>
      </c>
      <c r="L47" s="27" t="str">
        <f t="shared" si="1"/>
        <v>Young Adult</v>
      </c>
      <c r="M47" s="28">
        <f t="shared" si="2"/>
        <v>1</v>
      </c>
      <c r="N47" s="27" t="str">
        <f t="shared" si="3"/>
        <v>Alone</v>
      </c>
      <c r="O47" s="27" t="str">
        <f t="shared" si="4"/>
        <v>Low Fare</v>
      </c>
      <c r="P47" s="27" t="str">
        <f t="shared" si="5"/>
        <v>Third Class</v>
      </c>
      <c r="Q47" s="27">
        <f t="shared" si="6"/>
        <v>1</v>
      </c>
    </row>
    <row r="48" spans="1:17" x14ac:dyDescent="0.3">
      <c r="A48" s="15">
        <v>47</v>
      </c>
      <c r="B48" s="15">
        <v>0</v>
      </c>
      <c r="C48" s="15">
        <v>3</v>
      </c>
      <c r="D48" s="8" t="s">
        <v>103</v>
      </c>
      <c r="E48" s="8" t="s">
        <v>11</v>
      </c>
      <c r="F48" s="24">
        <v>26</v>
      </c>
      <c r="G48" s="15">
        <v>1</v>
      </c>
      <c r="H48" s="15">
        <v>0</v>
      </c>
      <c r="I48" s="8" t="s">
        <v>104</v>
      </c>
      <c r="J48" s="20">
        <v>15.5</v>
      </c>
      <c r="K48" s="27" t="str">
        <f t="shared" si="0"/>
        <v>Died</v>
      </c>
      <c r="L48" s="27" t="str">
        <f t="shared" si="1"/>
        <v>Young Adult</v>
      </c>
      <c r="M48" s="28">
        <f t="shared" si="2"/>
        <v>2</v>
      </c>
      <c r="N48" s="27" t="str">
        <f t="shared" si="3"/>
        <v>Small Family</v>
      </c>
      <c r="O48" s="27" t="str">
        <f t="shared" si="4"/>
        <v>Low Fare</v>
      </c>
      <c r="P48" s="27" t="str">
        <f t="shared" si="5"/>
        <v>Third Class</v>
      </c>
      <c r="Q48" s="27">
        <f t="shared" si="6"/>
        <v>1</v>
      </c>
    </row>
    <row r="49" spans="1:17" x14ac:dyDescent="0.3">
      <c r="A49" s="16">
        <v>48</v>
      </c>
      <c r="B49" s="16">
        <v>1</v>
      </c>
      <c r="C49" s="16">
        <v>3</v>
      </c>
      <c r="D49" s="11" t="s">
        <v>105</v>
      </c>
      <c r="E49" s="11" t="s">
        <v>14</v>
      </c>
      <c r="F49" s="25">
        <v>26</v>
      </c>
      <c r="G49" s="16">
        <v>0</v>
      </c>
      <c r="H49" s="16">
        <v>0</v>
      </c>
      <c r="I49" s="11" t="s">
        <v>106</v>
      </c>
      <c r="J49" s="21">
        <v>7.75</v>
      </c>
      <c r="K49" s="27" t="str">
        <f t="shared" si="0"/>
        <v>Survived</v>
      </c>
      <c r="L49" s="27" t="str">
        <f t="shared" si="1"/>
        <v>Young Adult</v>
      </c>
      <c r="M49" s="28">
        <f t="shared" si="2"/>
        <v>1</v>
      </c>
      <c r="N49" s="27" t="str">
        <f t="shared" si="3"/>
        <v>Alone</v>
      </c>
      <c r="O49" s="27" t="str">
        <f t="shared" si="4"/>
        <v>Low Fare</v>
      </c>
      <c r="P49" s="27" t="str">
        <f t="shared" si="5"/>
        <v>Third Class</v>
      </c>
      <c r="Q49" s="27">
        <f t="shared" si="6"/>
        <v>2</v>
      </c>
    </row>
    <row r="50" spans="1:17" x14ac:dyDescent="0.3">
      <c r="A50" s="15">
        <v>49</v>
      </c>
      <c r="B50" s="15">
        <v>0</v>
      </c>
      <c r="C50" s="15">
        <v>3</v>
      </c>
      <c r="D50" s="8" t="s">
        <v>107</v>
      </c>
      <c r="E50" s="8" t="s">
        <v>11</v>
      </c>
      <c r="F50" s="24">
        <v>26</v>
      </c>
      <c r="G50" s="15">
        <v>2</v>
      </c>
      <c r="H50" s="15">
        <v>0</v>
      </c>
      <c r="I50" s="8" t="s">
        <v>108</v>
      </c>
      <c r="J50" s="20">
        <v>21.679200000000002</v>
      </c>
      <c r="K50" s="27" t="str">
        <f t="shared" si="0"/>
        <v>Died</v>
      </c>
      <c r="L50" s="27" t="str">
        <f t="shared" si="1"/>
        <v>Young Adult</v>
      </c>
      <c r="M50" s="28">
        <f t="shared" si="2"/>
        <v>3</v>
      </c>
      <c r="N50" s="27" t="str">
        <f t="shared" si="3"/>
        <v>Small Family</v>
      </c>
      <c r="O50" s="27" t="str">
        <f t="shared" si="4"/>
        <v>Low Fare</v>
      </c>
      <c r="P50" s="27" t="str">
        <f t="shared" si="5"/>
        <v>Third Class</v>
      </c>
      <c r="Q50" s="27">
        <f t="shared" si="6"/>
        <v>1</v>
      </c>
    </row>
    <row r="51" spans="1:17" x14ac:dyDescent="0.3">
      <c r="A51" s="16">
        <v>50</v>
      </c>
      <c r="B51" s="16">
        <v>0</v>
      </c>
      <c r="C51" s="16">
        <v>3</v>
      </c>
      <c r="D51" s="11" t="s">
        <v>109</v>
      </c>
      <c r="E51" s="11" t="s">
        <v>14</v>
      </c>
      <c r="F51" s="25">
        <v>18</v>
      </c>
      <c r="G51" s="16">
        <v>1</v>
      </c>
      <c r="H51" s="16">
        <v>0</v>
      </c>
      <c r="I51" s="11" t="s">
        <v>110</v>
      </c>
      <c r="J51" s="21">
        <v>17.8</v>
      </c>
      <c r="K51" s="27" t="str">
        <f t="shared" si="0"/>
        <v>Died</v>
      </c>
      <c r="L51" s="27" t="str">
        <f t="shared" si="1"/>
        <v>Young Adult</v>
      </c>
      <c r="M51" s="28">
        <f t="shared" si="2"/>
        <v>2</v>
      </c>
      <c r="N51" s="27" t="str">
        <f t="shared" si="3"/>
        <v>Small Family</v>
      </c>
      <c r="O51" s="27" t="str">
        <f t="shared" si="4"/>
        <v>Low Fare</v>
      </c>
      <c r="P51" s="27" t="str">
        <f t="shared" si="5"/>
        <v>Third Class</v>
      </c>
      <c r="Q51" s="27">
        <f t="shared" si="6"/>
        <v>2</v>
      </c>
    </row>
    <row r="52" spans="1:17" x14ac:dyDescent="0.3">
      <c r="A52" s="15">
        <v>51</v>
      </c>
      <c r="B52" s="15">
        <v>0</v>
      </c>
      <c r="C52" s="15">
        <v>3</v>
      </c>
      <c r="D52" s="8" t="s">
        <v>111</v>
      </c>
      <c r="E52" s="8" t="s">
        <v>11</v>
      </c>
      <c r="F52" s="24">
        <v>7</v>
      </c>
      <c r="G52" s="15">
        <v>4</v>
      </c>
      <c r="H52" s="15">
        <v>1</v>
      </c>
      <c r="I52" s="8" t="s">
        <v>112</v>
      </c>
      <c r="J52" s="20">
        <v>39.6875</v>
      </c>
      <c r="K52" s="27" t="str">
        <f t="shared" si="0"/>
        <v>Died</v>
      </c>
      <c r="L52" s="27" t="str">
        <f t="shared" si="1"/>
        <v>Child</v>
      </c>
      <c r="M52" s="28">
        <f t="shared" si="2"/>
        <v>6</v>
      </c>
      <c r="N52" s="27" t="str">
        <f t="shared" si="3"/>
        <v>Large Family</v>
      </c>
      <c r="O52" s="27" t="str">
        <f t="shared" si="4"/>
        <v>Medium Fare</v>
      </c>
      <c r="P52" s="27" t="str">
        <f t="shared" si="5"/>
        <v>Third Class</v>
      </c>
      <c r="Q52" s="27">
        <f t="shared" si="6"/>
        <v>1</v>
      </c>
    </row>
    <row r="53" spans="1:17" x14ac:dyDescent="0.3">
      <c r="A53" s="16">
        <v>52</v>
      </c>
      <c r="B53" s="16">
        <v>0</v>
      </c>
      <c r="C53" s="16">
        <v>3</v>
      </c>
      <c r="D53" s="11" t="s">
        <v>113</v>
      </c>
      <c r="E53" s="11" t="s">
        <v>11</v>
      </c>
      <c r="F53" s="25">
        <v>21</v>
      </c>
      <c r="G53" s="16">
        <v>0</v>
      </c>
      <c r="H53" s="16">
        <v>0</v>
      </c>
      <c r="I53" s="11" t="s">
        <v>114</v>
      </c>
      <c r="J53" s="21">
        <v>7.8</v>
      </c>
      <c r="K53" s="27" t="str">
        <f t="shared" si="0"/>
        <v>Died</v>
      </c>
      <c r="L53" s="27" t="str">
        <f t="shared" si="1"/>
        <v>Young Adult</v>
      </c>
      <c r="M53" s="28">
        <f t="shared" si="2"/>
        <v>1</v>
      </c>
      <c r="N53" s="27" t="str">
        <f t="shared" si="3"/>
        <v>Alone</v>
      </c>
      <c r="O53" s="27" t="str">
        <f t="shared" si="4"/>
        <v>Low Fare</v>
      </c>
      <c r="P53" s="27" t="str">
        <f t="shared" si="5"/>
        <v>Third Class</v>
      </c>
      <c r="Q53" s="27">
        <f t="shared" si="6"/>
        <v>1</v>
      </c>
    </row>
    <row r="54" spans="1:17" x14ac:dyDescent="0.3">
      <c r="A54" s="15">
        <v>53</v>
      </c>
      <c r="B54" s="15">
        <v>1</v>
      </c>
      <c r="C54" s="15">
        <v>1</v>
      </c>
      <c r="D54" s="8" t="s">
        <v>115</v>
      </c>
      <c r="E54" s="8" t="s">
        <v>14</v>
      </c>
      <c r="F54" s="24">
        <v>49</v>
      </c>
      <c r="G54" s="15">
        <v>1</v>
      </c>
      <c r="H54" s="15">
        <v>0</v>
      </c>
      <c r="I54" s="8" t="s">
        <v>116</v>
      </c>
      <c r="J54" s="20">
        <v>76.729200000000006</v>
      </c>
      <c r="K54" s="27" t="str">
        <f t="shared" si="0"/>
        <v>Survived</v>
      </c>
      <c r="L54" s="27" t="str">
        <f t="shared" si="1"/>
        <v>Adult</v>
      </c>
      <c r="M54" s="28">
        <f t="shared" si="2"/>
        <v>2</v>
      </c>
      <c r="N54" s="27" t="str">
        <f t="shared" si="3"/>
        <v>Small Family</v>
      </c>
      <c r="O54" s="27" t="str">
        <f t="shared" si="4"/>
        <v>Medium Fare</v>
      </c>
      <c r="P54" s="27" t="str">
        <f t="shared" si="5"/>
        <v>First Class</v>
      </c>
      <c r="Q54" s="27">
        <f t="shared" si="6"/>
        <v>2</v>
      </c>
    </row>
    <row r="55" spans="1:17" x14ac:dyDescent="0.3">
      <c r="A55" s="16">
        <v>54</v>
      </c>
      <c r="B55" s="16">
        <v>1</v>
      </c>
      <c r="C55" s="16">
        <v>2</v>
      </c>
      <c r="D55" s="11" t="s">
        <v>117</v>
      </c>
      <c r="E55" s="11" t="s">
        <v>14</v>
      </c>
      <c r="F55" s="25">
        <v>29</v>
      </c>
      <c r="G55" s="16">
        <v>1</v>
      </c>
      <c r="H55" s="16">
        <v>0</v>
      </c>
      <c r="I55" s="11" t="s">
        <v>118</v>
      </c>
      <c r="J55" s="21">
        <v>26</v>
      </c>
      <c r="K55" s="27" t="str">
        <f t="shared" si="0"/>
        <v>Survived</v>
      </c>
      <c r="L55" s="27" t="str">
        <f t="shared" si="1"/>
        <v>Young Adult</v>
      </c>
      <c r="M55" s="28">
        <f t="shared" si="2"/>
        <v>2</v>
      </c>
      <c r="N55" s="27" t="str">
        <f t="shared" si="3"/>
        <v>Small Family</v>
      </c>
      <c r="O55" s="27" t="str">
        <f t="shared" si="4"/>
        <v>Medium Fare</v>
      </c>
      <c r="P55" s="27" t="str">
        <f t="shared" si="5"/>
        <v>Second Class</v>
      </c>
      <c r="Q55" s="27">
        <f t="shared" si="6"/>
        <v>2</v>
      </c>
    </row>
    <row r="56" spans="1:17" x14ac:dyDescent="0.3">
      <c r="A56" s="15">
        <v>55</v>
      </c>
      <c r="B56" s="15">
        <v>0</v>
      </c>
      <c r="C56" s="15">
        <v>1</v>
      </c>
      <c r="D56" s="8" t="s">
        <v>119</v>
      </c>
      <c r="E56" s="8" t="s">
        <v>11</v>
      </c>
      <c r="F56" s="24">
        <v>65</v>
      </c>
      <c r="G56" s="15">
        <v>0</v>
      </c>
      <c r="H56" s="15">
        <v>1</v>
      </c>
      <c r="I56" s="8" t="s">
        <v>120</v>
      </c>
      <c r="J56" s="20">
        <v>61.979199999999999</v>
      </c>
      <c r="K56" s="27" t="str">
        <f t="shared" si="0"/>
        <v>Died</v>
      </c>
      <c r="L56" s="27" t="str">
        <f t="shared" si="1"/>
        <v>Senior</v>
      </c>
      <c r="M56" s="28">
        <f t="shared" si="2"/>
        <v>2</v>
      </c>
      <c r="N56" s="27" t="str">
        <f t="shared" si="3"/>
        <v>Small Family</v>
      </c>
      <c r="O56" s="27" t="str">
        <f t="shared" si="4"/>
        <v>Medium Fare</v>
      </c>
      <c r="P56" s="27" t="str">
        <f t="shared" si="5"/>
        <v>First Class</v>
      </c>
      <c r="Q56" s="27">
        <f t="shared" si="6"/>
        <v>1</v>
      </c>
    </row>
    <row r="57" spans="1:17" x14ac:dyDescent="0.3">
      <c r="A57" s="16">
        <v>56</v>
      </c>
      <c r="B57" s="16">
        <v>1</v>
      </c>
      <c r="C57" s="16">
        <v>1</v>
      </c>
      <c r="D57" s="11" t="s">
        <v>121</v>
      </c>
      <c r="E57" s="11" t="s">
        <v>11</v>
      </c>
      <c r="F57" s="25">
        <v>26</v>
      </c>
      <c r="G57" s="16">
        <v>0</v>
      </c>
      <c r="H57" s="16">
        <v>0</v>
      </c>
      <c r="I57" s="11" t="s">
        <v>122</v>
      </c>
      <c r="J57" s="21">
        <v>35.5</v>
      </c>
      <c r="K57" s="27" t="str">
        <f t="shared" si="0"/>
        <v>Survived</v>
      </c>
      <c r="L57" s="27" t="str">
        <f t="shared" si="1"/>
        <v>Young Adult</v>
      </c>
      <c r="M57" s="28">
        <f t="shared" si="2"/>
        <v>1</v>
      </c>
      <c r="N57" s="27" t="str">
        <f t="shared" si="3"/>
        <v>Alone</v>
      </c>
      <c r="O57" s="27" t="str">
        <f t="shared" si="4"/>
        <v>Medium Fare</v>
      </c>
      <c r="P57" s="27" t="str">
        <f t="shared" si="5"/>
        <v>First Class</v>
      </c>
      <c r="Q57" s="27">
        <f t="shared" si="6"/>
        <v>1</v>
      </c>
    </row>
    <row r="58" spans="1:17" x14ac:dyDescent="0.3">
      <c r="A58" s="15">
        <v>57</v>
      </c>
      <c r="B58" s="15">
        <v>1</v>
      </c>
      <c r="C58" s="15">
        <v>2</v>
      </c>
      <c r="D58" s="8" t="s">
        <v>123</v>
      </c>
      <c r="E58" s="8" t="s">
        <v>14</v>
      </c>
      <c r="F58" s="24">
        <v>21</v>
      </c>
      <c r="G58" s="15">
        <v>0</v>
      </c>
      <c r="H58" s="15">
        <v>0</v>
      </c>
      <c r="I58" s="8" t="s">
        <v>124</v>
      </c>
      <c r="J58" s="20">
        <v>10.5</v>
      </c>
      <c r="K58" s="27" t="str">
        <f t="shared" si="0"/>
        <v>Survived</v>
      </c>
      <c r="L58" s="27" t="str">
        <f t="shared" si="1"/>
        <v>Young Adult</v>
      </c>
      <c r="M58" s="28">
        <f t="shared" si="2"/>
        <v>1</v>
      </c>
      <c r="N58" s="27" t="str">
        <f t="shared" si="3"/>
        <v>Alone</v>
      </c>
      <c r="O58" s="27" t="str">
        <f t="shared" si="4"/>
        <v>Low Fare</v>
      </c>
      <c r="P58" s="27" t="str">
        <f t="shared" si="5"/>
        <v>Second Class</v>
      </c>
      <c r="Q58" s="27">
        <f t="shared" si="6"/>
        <v>2</v>
      </c>
    </row>
    <row r="59" spans="1:17" x14ac:dyDescent="0.3">
      <c r="A59" s="16">
        <v>58</v>
      </c>
      <c r="B59" s="16">
        <v>0</v>
      </c>
      <c r="C59" s="16">
        <v>3</v>
      </c>
      <c r="D59" s="11" t="s">
        <v>125</v>
      </c>
      <c r="E59" s="11" t="s">
        <v>11</v>
      </c>
      <c r="F59" s="25">
        <v>28.5</v>
      </c>
      <c r="G59" s="16">
        <v>0</v>
      </c>
      <c r="H59" s="16">
        <v>0</v>
      </c>
      <c r="I59" s="11" t="s">
        <v>126</v>
      </c>
      <c r="J59" s="21">
        <v>7.2291999999999996</v>
      </c>
      <c r="K59" s="27" t="str">
        <f t="shared" si="0"/>
        <v>Died</v>
      </c>
      <c r="L59" s="27" t="str">
        <f t="shared" si="1"/>
        <v>Young Adult</v>
      </c>
      <c r="M59" s="28">
        <f t="shared" si="2"/>
        <v>1</v>
      </c>
      <c r="N59" s="27" t="str">
        <f t="shared" si="3"/>
        <v>Alone</v>
      </c>
      <c r="O59" s="27" t="str">
        <f t="shared" si="4"/>
        <v>Low Fare</v>
      </c>
      <c r="P59" s="27" t="str">
        <f t="shared" si="5"/>
        <v>Third Class</v>
      </c>
      <c r="Q59" s="27">
        <f t="shared" si="6"/>
        <v>1</v>
      </c>
    </row>
    <row r="60" spans="1:17" x14ac:dyDescent="0.3">
      <c r="A60" s="15">
        <v>59</v>
      </c>
      <c r="B60" s="15">
        <v>1</v>
      </c>
      <c r="C60" s="15">
        <v>2</v>
      </c>
      <c r="D60" s="8" t="s">
        <v>127</v>
      </c>
      <c r="E60" s="8" t="s">
        <v>14</v>
      </c>
      <c r="F60" s="24">
        <v>5</v>
      </c>
      <c r="G60" s="15">
        <v>1</v>
      </c>
      <c r="H60" s="15">
        <v>2</v>
      </c>
      <c r="I60" s="8" t="s">
        <v>128</v>
      </c>
      <c r="J60" s="20">
        <v>27.75</v>
      </c>
      <c r="K60" s="27" t="str">
        <f t="shared" si="0"/>
        <v>Survived</v>
      </c>
      <c r="L60" s="27" t="str">
        <f t="shared" si="1"/>
        <v>Child</v>
      </c>
      <c r="M60" s="28">
        <f t="shared" si="2"/>
        <v>4</v>
      </c>
      <c r="N60" s="27" t="str">
        <f t="shared" si="3"/>
        <v>Small Family</v>
      </c>
      <c r="O60" s="27" t="str">
        <f t="shared" si="4"/>
        <v>Medium Fare</v>
      </c>
      <c r="P60" s="27" t="str">
        <f t="shared" si="5"/>
        <v>Second Class</v>
      </c>
      <c r="Q60" s="27">
        <f t="shared" si="6"/>
        <v>2</v>
      </c>
    </row>
    <row r="61" spans="1:17" x14ac:dyDescent="0.3">
      <c r="A61" s="16">
        <v>60</v>
      </c>
      <c r="B61" s="16">
        <v>0</v>
      </c>
      <c r="C61" s="16">
        <v>3</v>
      </c>
      <c r="D61" s="11" t="s">
        <v>129</v>
      </c>
      <c r="E61" s="11" t="s">
        <v>11</v>
      </c>
      <c r="F61" s="25">
        <v>11</v>
      </c>
      <c r="G61" s="16">
        <v>5</v>
      </c>
      <c r="H61" s="16">
        <v>2</v>
      </c>
      <c r="I61" s="11" t="s">
        <v>130</v>
      </c>
      <c r="J61" s="21">
        <v>46.9</v>
      </c>
      <c r="K61" s="27" t="str">
        <f t="shared" si="0"/>
        <v>Died</v>
      </c>
      <c r="L61" s="27" t="str">
        <f t="shared" si="1"/>
        <v>Child</v>
      </c>
      <c r="M61" s="28">
        <f t="shared" si="2"/>
        <v>8</v>
      </c>
      <c r="N61" s="27" t="str">
        <f t="shared" si="3"/>
        <v>Large Family</v>
      </c>
      <c r="O61" s="27" t="str">
        <f t="shared" si="4"/>
        <v>Medium Fare</v>
      </c>
      <c r="P61" s="27" t="str">
        <f t="shared" si="5"/>
        <v>Third Class</v>
      </c>
      <c r="Q61" s="27">
        <f t="shared" si="6"/>
        <v>1</v>
      </c>
    </row>
    <row r="62" spans="1:17" x14ac:dyDescent="0.3">
      <c r="A62" s="15">
        <v>61</v>
      </c>
      <c r="B62" s="15">
        <v>0</v>
      </c>
      <c r="C62" s="15">
        <v>3</v>
      </c>
      <c r="D62" s="8" t="s">
        <v>131</v>
      </c>
      <c r="E62" s="8" t="s">
        <v>11</v>
      </c>
      <c r="F62" s="24">
        <v>22</v>
      </c>
      <c r="G62" s="15">
        <v>0</v>
      </c>
      <c r="H62" s="15">
        <v>0</v>
      </c>
      <c r="I62" s="8" t="s">
        <v>132</v>
      </c>
      <c r="J62" s="20">
        <v>7.2291999999999996</v>
      </c>
      <c r="K62" s="27" t="str">
        <f t="shared" si="0"/>
        <v>Died</v>
      </c>
      <c r="L62" s="27" t="str">
        <f t="shared" si="1"/>
        <v>Young Adult</v>
      </c>
      <c r="M62" s="28">
        <f t="shared" si="2"/>
        <v>1</v>
      </c>
      <c r="N62" s="27" t="str">
        <f t="shared" si="3"/>
        <v>Alone</v>
      </c>
      <c r="O62" s="27" t="str">
        <f t="shared" si="4"/>
        <v>Low Fare</v>
      </c>
      <c r="P62" s="27" t="str">
        <f t="shared" si="5"/>
        <v>Third Class</v>
      </c>
      <c r="Q62" s="27">
        <f t="shared" si="6"/>
        <v>1</v>
      </c>
    </row>
    <row r="63" spans="1:17" x14ac:dyDescent="0.3">
      <c r="A63" s="16">
        <v>62</v>
      </c>
      <c r="B63" s="16">
        <v>1</v>
      </c>
      <c r="C63" s="16">
        <v>1</v>
      </c>
      <c r="D63" s="11" t="s">
        <v>133</v>
      </c>
      <c r="E63" s="11" t="s">
        <v>14</v>
      </c>
      <c r="F63" s="25">
        <v>38</v>
      </c>
      <c r="G63" s="16">
        <v>0</v>
      </c>
      <c r="H63" s="16">
        <v>0</v>
      </c>
      <c r="I63" s="11" t="s">
        <v>134</v>
      </c>
      <c r="J63" s="21">
        <v>80</v>
      </c>
      <c r="K63" s="27" t="str">
        <f t="shared" si="0"/>
        <v>Survived</v>
      </c>
      <c r="L63" s="27" t="str">
        <f t="shared" si="1"/>
        <v>Adult</v>
      </c>
      <c r="M63" s="28">
        <f t="shared" si="2"/>
        <v>1</v>
      </c>
      <c r="N63" s="27" t="str">
        <f t="shared" si="3"/>
        <v>Alone</v>
      </c>
      <c r="O63" s="27" t="str">
        <f t="shared" si="4"/>
        <v>Medium Fare</v>
      </c>
      <c r="P63" s="27" t="str">
        <f t="shared" si="5"/>
        <v>First Class</v>
      </c>
      <c r="Q63" s="27">
        <f t="shared" si="6"/>
        <v>2</v>
      </c>
    </row>
    <row r="64" spans="1:17" x14ac:dyDescent="0.3">
      <c r="A64" s="15">
        <v>63</v>
      </c>
      <c r="B64" s="15">
        <v>0</v>
      </c>
      <c r="C64" s="15">
        <v>1</v>
      </c>
      <c r="D64" s="8" t="s">
        <v>135</v>
      </c>
      <c r="E64" s="8" t="s">
        <v>11</v>
      </c>
      <c r="F64" s="24">
        <v>45</v>
      </c>
      <c r="G64" s="15">
        <v>1</v>
      </c>
      <c r="H64" s="15">
        <v>0</v>
      </c>
      <c r="I64" s="8" t="s">
        <v>136</v>
      </c>
      <c r="J64" s="20">
        <v>83.474999999999994</v>
      </c>
      <c r="K64" s="27" t="str">
        <f t="shared" si="0"/>
        <v>Died</v>
      </c>
      <c r="L64" s="27" t="str">
        <f t="shared" si="1"/>
        <v>Adult</v>
      </c>
      <c r="M64" s="28">
        <f t="shared" si="2"/>
        <v>2</v>
      </c>
      <c r="N64" s="27" t="str">
        <f t="shared" si="3"/>
        <v>Small Family</v>
      </c>
      <c r="O64" s="27" t="str">
        <f t="shared" si="4"/>
        <v>Medium Fare</v>
      </c>
      <c r="P64" s="27" t="str">
        <f t="shared" si="5"/>
        <v>First Class</v>
      </c>
      <c r="Q64" s="27">
        <f t="shared" si="6"/>
        <v>1</v>
      </c>
    </row>
    <row r="65" spans="1:17" x14ac:dyDescent="0.3">
      <c r="A65" s="16">
        <v>64</v>
      </c>
      <c r="B65" s="16">
        <v>0</v>
      </c>
      <c r="C65" s="16">
        <v>3</v>
      </c>
      <c r="D65" s="11" t="s">
        <v>137</v>
      </c>
      <c r="E65" s="11" t="s">
        <v>11</v>
      </c>
      <c r="F65" s="25">
        <v>4</v>
      </c>
      <c r="G65" s="16">
        <v>3</v>
      </c>
      <c r="H65" s="16">
        <v>2</v>
      </c>
      <c r="I65" s="11" t="s">
        <v>138</v>
      </c>
      <c r="J65" s="21">
        <v>27.9</v>
      </c>
      <c r="K65" s="27" t="str">
        <f t="shared" si="0"/>
        <v>Died</v>
      </c>
      <c r="L65" s="27" t="str">
        <f t="shared" si="1"/>
        <v>Child</v>
      </c>
      <c r="M65" s="28">
        <f t="shared" si="2"/>
        <v>6</v>
      </c>
      <c r="N65" s="27" t="str">
        <f t="shared" si="3"/>
        <v>Large Family</v>
      </c>
      <c r="O65" s="27" t="str">
        <f t="shared" si="4"/>
        <v>Medium Fare</v>
      </c>
      <c r="P65" s="27" t="str">
        <f t="shared" si="5"/>
        <v>Third Class</v>
      </c>
      <c r="Q65" s="27">
        <f t="shared" si="6"/>
        <v>1</v>
      </c>
    </row>
    <row r="66" spans="1:17" x14ac:dyDescent="0.3">
      <c r="A66" s="15">
        <v>65</v>
      </c>
      <c r="B66" s="15">
        <v>0</v>
      </c>
      <c r="C66" s="15">
        <v>1</v>
      </c>
      <c r="D66" s="8" t="s">
        <v>139</v>
      </c>
      <c r="E66" s="8" t="s">
        <v>11</v>
      </c>
      <c r="F66" s="24">
        <v>26</v>
      </c>
      <c r="G66" s="15">
        <v>0</v>
      </c>
      <c r="H66" s="15">
        <v>0</v>
      </c>
      <c r="I66" s="8" t="s">
        <v>140</v>
      </c>
      <c r="J66" s="20">
        <v>27.720800000000001</v>
      </c>
      <c r="K66" s="27" t="str">
        <f t="shared" ref="K66:K129" si="7">IF(B66=1, "Survived", "Died")</f>
        <v>Died</v>
      </c>
      <c r="L66" s="27" t="str">
        <f t="shared" ref="L66:L129" si="8">IF(F66&lt;18, "Child", IF(F66&lt;35, "Young Adult", IF(F66&lt;60, "Adult", "Senior")))</f>
        <v>Young Adult</v>
      </c>
      <c r="M66" s="28">
        <f t="shared" ref="M66:M129" si="9">G66+H66+1</f>
        <v>1</v>
      </c>
      <c r="N66" s="27" t="str">
        <f t="shared" ref="N66:N129" si="10">IF(M66=1,"Alone",IF(M66&lt;=4,"Small Family","Large Family"))</f>
        <v>Alone</v>
      </c>
      <c r="O66" s="27" t="str">
        <f t="shared" ref="O66:O129" si="11">IF(J66&lt;25, "Low Fare", IF(J66&lt;=100, "Medium Fare", "High Fare"))</f>
        <v>Medium Fare</v>
      </c>
      <c r="P66" s="27" t="str">
        <f t="shared" ref="P66:P129" si="12">IF(C66=1, "First Class", IF(C66=2, "Second Class", "Third Class"))</f>
        <v>First Class</v>
      </c>
      <c r="Q66" s="27">
        <f t="shared" ref="Q66:Q129" si="13">IF(E66="male", 1, 2)</f>
        <v>1</v>
      </c>
    </row>
    <row r="67" spans="1:17" x14ac:dyDescent="0.3">
      <c r="A67" s="16">
        <v>66</v>
      </c>
      <c r="B67" s="16">
        <v>1</v>
      </c>
      <c r="C67" s="16">
        <v>3</v>
      </c>
      <c r="D67" s="11" t="s">
        <v>141</v>
      </c>
      <c r="E67" s="11" t="s">
        <v>11</v>
      </c>
      <c r="F67" s="25">
        <v>26</v>
      </c>
      <c r="G67" s="16">
        <v>1</v>
      </c>
      <c r="H67" s="16">
        <v>1</v>
      </c>
      <c r="I67" s="11" t="s">
        <v>142</v>
      </c>
      <c r="J67" s="21">
        <v>15.245799999999999</v>
      </c>
      <c r="K67" s="27" t="str">
        <f t="shared" si="7"/>
        <v>Survived</v>
      </c>
      <c r="L67" s="27" t="str">
        <f t="shared" si="8"/>
        <v>Young Adult</v>
      </c>
      <c r="M67" s="28">
        <f t="shared" si="9"/>
        <v>3</v>
      </c>
      <c r="N67" s="27" t="str">
        <f t="shared" si="10"/>
        <v>Small Family</v>
      </c>
      <c r="O67" s="27" t="str">
        <f t="shared" si="11"/>
        <v>Low Fare</v>
      </c>
      <c r="P67" s="27" t="str">
        <f t="shared" si="12"/>
        <v>Third Class</v>
      </c>
      <c r="Q67" s="27">
        <f t="shared" si="13"/>
        <v>1</v>
      </c>
    </row>
    <row r="68" spans="1:17" x14ac:dyDescent="0.3">
      <c r="A68" s="15">
        <v>67</v>
      </c>
      <c r="B68" s="15">
        <v>1</v>
      </c>
      <c r="C68" s="15">
        <v>2</v>
      </c>
      <c r="D68" s="8" t="s">
        <v>143</v>
      </c>
      <c r="E68" s="8" t="s">
        <v>14</v>
      </c>
      <c r="F68" s="24">
        <v>29</v>
      </c>
      <c r="G68" s="15">
        <v>0</v>
      </c>
      <c r="H68" s="15">
        <v>0</v>
      </c>
      <c r="I68" s="8" t="s">
        <v>144</v>
      </c>
      <c r="J68" s="20">
        <v>10.5</v>
      </c>
      <c r="K68" s="27" t="str">
        <f t="shared" si="7"/>
        <v>Survived</v>
      </c>
      <c r="L68" s="27" t="str">
        <f t="shared" si="8"/>
        <v>Young Adult</v>
      </c>
      <c r="M68" s="28">
        <f t="shared" si="9"/>
        <v>1</v>
      </c>
      <c r="N68" s="27" t="str">
        <f t="shared" si="10"/>
        <v>Alone</v>
      </c>
      <c r="O68" s="27" t="str">
        <f t="shared" si="11"/>
        <v>Low Fare</v>
      </c>
      <c r="P68" s="27" t="str">
        <f t="shared" si="12"/>
        <v>Second Class</v>
      </c>
      <c r="Q68" s="27">
        <f t="shared" si="13"/>
        <v>2</v>
      </c>
    </row>
    <row r="69" spans="1:17" x14ac:dyDescent="0.3">
      <c r="A69" s="16">
        <v>68</v>
      </c>
      <c r="B69" s="16">
        <v>0</v>
      </c>
      <c r="C69" s="16">
        <v>3</v>
      </c>
      <c r="D69" s="11" t="s">
        <v>145</v>
      </c>
      <c r="E69" s="11" t="s">
        <v>11</v>
      </c>
      <c r="F69" s="25">
        <v>19</v>
      </c>
      <c r="G69" s="16">
        <v>0</v>
      </c>
      <c r="H69" s="16">
        <v>0</v>
      </c>
      <c r="I69" s="11" t="s">
        <v>146</v>
      </c>
      <c r="J69" s="21">
        <v>8.1583000000000006</v>
      </c>
      <c r="K69" s="27" t="str">
        <f t="shared" si="7"/>
        <v>Died</v>
      </c>
      <c r="L69" s="27" t="str">
        <f t="shared" si="8"/>
        <v>Young Adult</v>
      </c>
      <c r="M69" s="28">
        <f t="shared" si="9"/>
        <v>1</v>
      </c>
      <c r="N69" s="27" t="str">
        <f t="shared" si="10"/>
        <v>Alone</v>
      </c>
      <c r="O69" s="27" t="str">
        <f t="shared" si="11"/>
        <v>Low Fare</v>
      </c>
      <c r="P69" s="27" t="str">
        <f t="shared" si="12"/>
        <v>Third Class</v>
      </c>
      <c r="Q69" s="27">
        <f t="shared" si="13"/>
        <v>1</v>
      </c>
    </row>
    <row r="70" spans="1:17" x14ac:dyDescent="0.3">
      <c r="A70" s="15">
        <v>69</v>
      </c>
      <c r="B70" s="15">
        <v>1</v>
      </c>
      <c r="C70" s="15">
        <v>3</v>
      </c>
      <c r="D70" s="8" t="s">
        <v>147</v>
      </c>
      <c r="E70" s="8" t="s">
        <v>14</v>
      </c>
      <c r="F70" s="24">
        <v>17</v>
      </c>
      <c r="G70" s="15">
        <v>4</v>
      </c>
      <c r="H70" s="15">
        <v>2</v>
      </c>
      <c r="I70" s="8" t="s">
        <v>148</v>
      </c>
      <c r="J70" s="20">
        <v>7.9249999999999998</v>
      </c>
      <c r="K70" s="27" t="str">
        <f t="shared" si="7"/>
        <v>Survived</v>
      </c>
      <c r="L70" s="27" t="str">
        <f t="shared" si="8"/>
        <v>Child</v>
      </c>
      <c r="M70" s="28">
        <f t="shared" si="9"/>
        <v>7</v>
      </c>
      <c r="N70" s="27" t="str">
        <f t="shared" si="10"/>
        <v>Large Family</v>
      </c>
      <c r="O70" s="27" t="str">
        <f t="shared" si="11"/>
        <v>Low Fare</v>
      </c>
      <c r="P70" s="27" t="str">
        <f t="shared" si="12"/>
        <v>Third Class</v>
      </c>
      <c r="Q70" s="27">
        <f t="shared" si="13"/>
        <v>2</v>
      </c>
    </row>
    <row r="71" spans="1:17" x14ac:dyDescent="0.3">
      <c r="A71" s="16">
        <v>70</v>
      </c>
      <c r="B71" s="16">
        <v>0</v>
      </c>
      <c r="C71" s="16">
        <v>3</v>
      </c>
      <c r="D71" s="11" t="s">
        <v>149</v>
      </c>
      <c r="E71" s="11" t="s">
        <v>11</v>
      </c>
      <c r="F71" s="25">
        <v>26</v>
      </c>
      <c r="G71" s="16">
        <v>2</v>
      </c>
      <c r="H71" s="16">
        <v>0</v>
      </c>
      <c r="I71" s="11" t="s">
        <v>150</v>
      </c>
      <c r="J71" s="21">
        <v>8.6624999999999996</v>
      </c>
      <c r="K71" s="27" t="str">
        <f t="shared" si="7"/>
        <v>Died</v>
      </c>
      <c r="L71" s="27" t="str">
        <f t="shared" si="8"/>
        <v>Young Adult</v>
      </c>
      <c r="M71" s="28">
        <f t="shared" si="9"/>
        <v>3</v>
      </c>
      <c r="N71" s="27" t="str">
        <f t="shared" si="10"/>
        <v>Small Family</v>
      </c>
      <c r="O71" s="27" t="str">
        <f t="shared" si="11"/>
        <v>Low Fare</v>
      </c>
      <c r="P71" s="27" t="str">
        <f t="shared" si="12"/>
        <v>Third Class</v>
      </c>
      <c r="Q71" s="27">
        <f t="shared" si="13"/>
        <v>1</v>
      </c>
    </row>
    <row r="72" spans="1:17" x14ac:dyDescent="0.3">
      <c r="A72" s="15">
        <v>71</v>
      </c>
      <c r="B72" s="15">
        <v>0</v>
      </c>
      <c r="C72" s="15">
        <v>2</v>
      </c>
      <c r="D72" s="8" t="s">
        <v>151</v>
      </c>
      <c r="E72" s="8" t="s">
        <v>11</v>
      </c>
      <c r="F72" s="24">
        <v>32</v>
      </c>
      <c r="G72" s="15">
        <v>0</v>
      </c>
      <c r="H72" s="15">
        <v>0</v>
      </c>
      <c r="I72" s="8" t="s">
        <v>152</v>
      </c>
      <c r="J72" s="20">
        <v>10.5</v>
      </c>
      <c r="K72" s="27" t="str">
        <f t="shared" si="7"/>
        <v>Died</v>
      </c>
      <c r="L72" s="27" t="str">
        <f t="shared" si="8"/>
        <v>Young Adult</v>
      </c>
      <c r="M72" s="28">
        <f t="shared" si="9"/>
        <v>1</v>
      </c>
      <c r="N72" s="27" t="str">
        <f t="shared" si="10"/>
        <v>Alone</v>
      </c>
      <c r="O72" s="27" t="str">
        <f t="shared" si="11"/>
        <v>Low Fare</v>
      </c>
      <c r="P72" s="27" t="str">
        <f t="shared" si="12"/>
        <v>Second Class</v>
      </c>
      <c r="Q72" s="27">
        <f t="shared" si="13"/>
        <v>1</v>
      </c>
    </row>
    <row r="73" spans="1:17" x14ac:dyDescent="0.3">
      <c r="A73" s="16">
        <v>72</v>
      </c>
      <c r="B73" s="16">
        <v>0</v>
      </c>
      <c r="C73" s="16">
        <v>3</v>
      </c>
      <c r="D73" s="11" t="s">
        <v>153</v>
      </c>
      <c r="E73" s="11" t="s">
        <v>14</v>
      </c>
      <c r="F73" s="25">
        <v>16</v>
      </c>
      <c r="G73" s="16">
        <v>5</v>
      </c>
      <c r="H73" s="16">
        <v>2</v>
      </c>
      <c r="I73" s="11" t="s">
        <v>130</v>
      </c>
      <c r="J73" s="21">
        <v>46.9</v>
      </c>
      <c r="K73" s="27" t="str">
        <f t="shared" si="7"/>
        <v>Died</v>
      </c>
      <c r="L73" s="27" t="str">
        <f t="shared" si="8"/>
        <v>Child</v>
      </c>
      <c r="M73" s="28">
        <f t="shared" si="9"/>
        <v>8</v>
      </c>
      <c r="N73" s="27" t="str">
        <f t="shared" si="10"/>
        <v>Large Family</v>
      </c>
      <c r="O73" s="27" t="str">
        <f t="shared" si="11"/>
        <v>Medium Fare</v>
      </c>
      <c r="P73" s="27" t="str">
        <f t="shared" si="12"/>
        <v>Third Class</v>
      </c>
      <c r="Q73" s="27">
        <f t="shared" si="13"/>
        <v>2</v>
      </c>
    </row>
    <row r="74" spans="1:17" x14ac:dyDescent="0.3">
      <c r="A74" s="15">
        <v>73</v>
      </c>
      <c r="B74" s="15">
        <v>0</v>
      </c>
      <c r="C74" s="15">
        <v>2</v>
      </c>
      <c r="D74" s="8" t="s">
        <v>154</v>
      </c>
      <c r="E74" s="8" t="s">
        <v>11</v>
      </c>
      <c r="F74" s="24">
        <v>21</v>
      </c>
      <c r="G74" s="15">
        <v>0</v>
      </c>
      <c r="H74" s="15">
        <v>0</v>
      </c>
      <c r="I74" s="8" t="s">
        <v>155</v>
      </c>
      <c r="J74" s="20">
        <v>73.5</v>
      </c>
      <c r="K74" s="27" t="str">
        <f t="shared" si="7"/>
        <v>Died</v>
      </c>
      <c r="L74" s="27" t="str">
        <f t="shared" si="8"/>
        <v>Young Adult</v>
      </c>
      <c r="M74" s="28">
        <f t="shared" si="9"/>
        <v>1</v>
      </c>
      <c r="N74" s="27" t="str">
        <f t="shared" si="10"/>
        <v>Alone</v>
      </c>
      <c r="O74" s="27" t="str">
        <f t="shared" si="11"/>
        <v>Medium Fare</v>
      </c>
      <c r="P74" s="27" t="str">
        <f t="shared" si="12"/>
        <v>Second Class</v>
      </c>
      <c r="Q74" s="27">
        <f t="shared" si="13"/>
        <v>1</v>
      </c>
    </row>
    <row r="75" spans="1:17" x14ac:dyDescent="0.3">
      <c r="A75" s="16">
        <v>74</v>
      </c>
      <c r="B75" s="16">
        <v>0</v>
      </c>
      <c r="C75" s="16">
        <v>3</v>
      </c>
      <c r="D75" s="11" t="s">
        <v>156</v>
      </c>
      <c r="E75" s="11" t="s">
        <v>11</v>
      </c>
      <c r="F75" s="25">
        <v>26</v>
      </c>
      <c r="G75" s="16">
        <v>1</v>
      </c>
      <c r="H75" s="16">
        <v>0</v>
      </c>
      <c r="I75" s="11" t="s">
        <v>157</v>
      </c>
      <c r="J75" s="21">
        <v>14.4542</v>
      </c>
      <c r="K75" s="27" t="str">
        <f t="shared" si="7"/>
        <v>Died</v>
      </c>
      <c r="L75" s="27" t="str">
        <f t="shared" si="8"/>
        <v>Young Adult</v>
      </c>
      <c r="M75" s="28">
        <f t="shared" si="9"/>
        <v>2</v>
      </c>
      <c r="N75" s="27" t="str">
        <f t="shared" si="10"/>
        <v>Small Family</v>
      </c>
      <c r="O75" s="27" t="str">
        <f t="shared" si="11"/>
        <v>Low Fare</v>
      </c>
      <c r="P75" s="27" t="str">
        <f t="shared" si="12"/>
        <v>Third Class</v>
      </c>
      <c r="Q75" s="27">
        <f t="shared" si="13"/>
        <v>1</v>
      </c>
    </row>
    <row r="76" spans="1:17" x14ac:dyDescent="0.3">
      <c r="A76" s="15">
        <v>75</v>
      </c>
      <c r="B76" s="15">
        <v>1</v>
      </c>
      <c r="C76" s="15">
        <v>3</v>
      </c>
      <c r="D76" s="8" t="s">
        <v>158</v>
      </c>
      <c r="E76" s="8" t="s">
        <v>11</v>
      </c>
      <c r="F76" s="24">
        <v>32</v>
      </c>
      <c r="G76" s="15">
        <v>0</v>
      </c>
      <c r="H76" s="15">
        <v>0</v>
      </c>
      <c r="I76" s="8" t="s">
        <v>159</v>
      </c>
      <c r="J76" s="20">
        <v>56.495800000000003</v>
      </c>
      <c r="K76" s="27" t="str">
        <f t="shared" si="7"/>
        <v>Survived</v>
      </c>
      <c r="L76" s="27" t="str">
        <f t="shared" si="8"/>
        <v>Young Adult</v>
      </c>
      <c r="M76" s="28">
        <f t="shared" si="9"/>
        <v>1</v>
      </c>
      <c r="N76" s="27" t="str">
        <f t="shared" si="10"/>
        <v>Alone</v>
      </c>
      <c r="O76" s="27" t="str">
        <f t="shared" si="11"/>
        <v>Medium Fare</v>
      </c>
      <c r="P76" s="27" t="str">
        <f t="shared" si="12"/>
        <v>Third Class</v>
      </c>
      <c r="Q76" s="27">
        <f t="shared" si="13"/>
        <v>1</v>
      </c>
    </row>
    <row r="77" spans="1:17" x14ac:dyDescent="0.3">
      <c r="A77" s="16">
        <v>76</v>
      </c>
      <c r="B77" s="16">
        <v>0</v>
      </c>
      <c r="C77" s="16">
        <v>3</v>
      </c>
      <c r="D77" s="11" t="s">
        <v>160</v>
      </c>
      <c r="E77" s="11" t="s">
        <v>11</v>
      </c>
      <c r="F77" s="25">
        <v>25</v>
      </c>
      <c r="G77" s="16">
        <v>0</v>
      </c>
      <c r="H77" s="16">
        <v>0</v>
      </c>
      <c r="I77" s="11" t="s">
        <v>161</v>
      </c>
      <c r="J77" s="21">
        <v>7.65</v>
      </c>
      <c r="K77" s="27" t="str">
        <f t="shared" si="7"/>
        <v>Died</v>
      </c>
      <c r="L77" s="27" t="str">
        <f t="shared" si="8"/>
        <v>Young Adult</v>
      </c>
      <c r="M77" s="28">
        <f t="shared" si="9"/>
        <v>1</v>
      </c>
      <c r="N77" s="27" t="str">
        <f t="shared" si="10"/>
        <v>Alone</v>
      </c>
      <c r="O77" s="27" t="str">
        <f t="shared" si="11"/>
        <v>Low Fare</v>
      </c>
      <c r="P77" s="27" t="str">
        <f t="shared" si="12"/>
        <v>Third Class</v>
      </c>
      <c r="Q77" s="27">
        <f t="shared" si="13"/>
        <v>1</v>
      </c>
    </row>
    <row r="78" spans="1:17" x14ac:dyDescent="0.3">
      <c r="A78" s="15">
        <v>77</v>
      </c>
      <c r="B78" s="15">
        <v>0</v>
      </c>
      <c r="C78" s="15">
        <v>3</v>
      </c>
      <c r="D78" s="8" t="s">
        <v>162</v>
      </c>
      <c r="E78" s="8" t="s">
        <v>11</v>
      </c>
      <c r="F78" s="24">
        <v>26</v>
      </c>
      <c r="G78" s="15">
        <v>0</v>
      </c>
      <c r="H78" s="15">
        <v>0</v>
      </c>
      <c r="I78" s="8" t="s">
        <v>163</v>
      </c>
      <c r="J78" s="20">
        <v>7.8958000000000004</v>
      </c>
      <c r="K78" s="27" t="str">
        <f t="shared" si="7"/>
        <v>Died</v>
      </c>
      <c r="L78" s="27" t="str">
        <f t="shared" si="8"/>
        <v>Young Adult</v>
      </c>
      <c r="M78" s="28">
        <f t="shared" si="9"/>
        <v>1</v>
      </c>
      <c r="N78" s="27" t="str">
        <f t="shared" si="10"/>
        <v>Alone</v>
      </c>
      <c r="O78" s="27" t="str">
        <f t="shared" si="11"/>
        <v>Low Fare</v>
      </c>
      <c r="P78" s="27" t="str">
        <f t="shared" si="12"/>
        <v>Third Class</v>
      </c>
      <c r="Q78" s="27">
        <f t="shared" si="13"/>
        <v>1</v>
      </c>
    </row>
    <row r="79" spans="1:17" x14ac:dyDescent="0.3">
      <c r="A79" s="16">
        <v>78</v>
      </c>
      <c r="B79" s="16">
        <v>0</v>
      </c>
      <c r="C79" s="16">
        <v>3</v>
      </c>
      <c r="D79" s="11" t="s">
        <v>164</v>
      </c>
      <c r="E79" s="11" t="s">
        <v>11</v>
      </c>
      <c r="F79" s="25">
        <v>26</v>
      </c>
      <c r="G79" s="16">
        <v>0</v>
      </c>
      <c r="H79" s="16">
        <v>0</v>
      </c>
      <c r="I79" s="11" t="s">
        <v>165</v>
      </c>
      <c r="J79" s="21">
        <v>8.0500000000000007</v>
      </c>
      <c r="K79" s="27" t="str">
        <f t="shared" si="7"/>
        <v>Died</v>
      </c>
      <c r="L79" s="27" t="str">
        <f t="shared" si="8"/>
        <v>Young Adult</v>
      </c>
      <c r="M79" s="28">
        <f t="shared" si="9"/>
        <v>1</v>
      </c>
      <c r="N79" s="27" t="str">
        <f t="shared" si="10"/>
        <v>Alone</v>
      </c>
      <c r="O79" s="27" t="str">
        <f t="shared" si="11"/>
        <v>Low Fare</v>
      </c>
      <c r="P79" s="27" t="str">
        <f t="shared" si="12"/>
        <v>Third Class</v>
      </c>
      <c r="Q79" s="27">
        <f t="shared" si="13"/>
        <v>1</v>
      </c>
    </row>
    <row r="80" spans="1:17" x14ac:dyDescent="0.3">
      <c r="A80" s="15">
        <v>79</v>
      </c>
      <c r="B80" s="15">
        <v>1</v>
      </c>
      <c r="C80" s="15">
        <v>2</v>
      </c>
      <c r="D80" s="8" t="s">
        <v>166</v>
      </c>
      <c r="E80" s="8" t="s">
        <v>11</v>
      </c>
      <c r="F80" s="24">
        <v>0.83</v>
      </c>
      <c r="G80" s="15">
        <v>0</v>
      </c>
      <c r="H80" s="15">
        <v>2</v>
      </c>
      <c r="I80" s="8" t="s">
        <v>167</v>
      </c>
      <c r="J80" s="20">
        <v>29</v>
      </c>
      <c r="K80" s="27" t="str">
        <f t="shared" si="7"/>
        <v>Survived</v>
      </c>
      <c r="L80" s="27" t="str">
        <f t="shared" si="8"/>
        <v>Child</v>
      </c>
      <c r="M80" s="28">
        <f t="shared" si="9"/>
        <v>3</v>
      </c>
      <c r="N80" s="27" t="str">
        <f t="shared" si="10"/>
        <v>Small Family</v>
      </c>
      <c r="O80" s="27" t="str">
        <f t="shared" si="11"/>
        <v>Medium Fare</v>
      </c>
      <c r="P80" s="27" t="str">
        <f t="shared" si="12"/>
        <v>Second Class</v>
      </c>
      <c r="Q80" s="27">
        <f t="shared" si="13"/>
        <v>1</v>
      </c>
    </row>
    <row r="81" spans="1:17" x14ac:dyDescent="0.3">
      <c r="A81" s="16">
        <v>80</v>
      </c>
      <c r="B81" s="16">
        <v>1</v>
      </c>
      <c r="C81" s="16">
        <v>3</v>
      </c>
      <c r="D81" s="11" t="s">
        <v>168</v>
      </c>
      <c r="E81" s="11" t="s">
        <v>14</v>
      </c>
      <c r="F81" s="25">
        <v>30</v>
      </c>
      <c r="G81" s="16">
        <v>0</v>
      </c>
      <c r="H81" s="16">
        <v>0</v>
      </c>
      <c r="I81" s="11" t="s">
        <v>169</v>
      </c>
      <c r="J81" s="21">
        <v>12.475</v>
      </c>
      <c r="K81" s="27" t="str">
        <f t="shared" si="7"/>
        <v>Survived</v>
      </c>
      <c r="L81" s="27" t="str">
        <f t="shared" si="8"/>
        <v>Young Adult</v>
      </c>
      <c r="M81" s="28">
        <f t="shared" si="9"/>
        <v>1</v>
      </c>
      <c r="N81" s="27" t="str">
        <f t="shared" si="10"/>
        <v>Alone</v>
      </c>
      <c r="O81" s="27" t="str">
        <f t="shared" si="11"/>
        <v>Low Fare</v>
      </c>
      <c r="P81" s="27" t="str">
        <f t="shared" si="12"/>
        <v>Third Class</v>
      </c>
      <c r="Q81" s="27">
        <f t="shared" si="13"/>
        <v>2</v>
      </c>
    </row>
    <row r="82" spans="1:17" x14ac:dyDescent="0.3">
      <c r="A82" s="15">
        <v>81</v>
      </c>
      <c r="B82" s="15">
        <v>0</v>
      </c>
      <c r="C82" s="15">
        <v>3</v>
      </c>
      <c r="D82" s="8" t="s">
        <v>170</v>
      </c>
      <c r="E82" s="8" t="s">
        <v>11</v>
      </c>
      <c r="F82" s="24">
        <v>22</v>
      </c>
      <c r="G82" s="15">
        <v>0</v>
      </c>
      <c r="H82" s="15">
        <v>0</v>
      </c>
      <c r="I82" s="8" t="s">
        <v>171</v>
      </c>
      <c r="J82" s="20">
        <v>9</v>
      </c>
      <c r="K82" s="27" t="str">
        <f t="shared" si="7"/>
        <v>Died</v>
      </c>
      <c r="L82" s="27" t="str">
        <f t="shared" si="8"/>
        <v>Young Adult</v>
      </c>
      <c r="M82" s="28">
        <f t="shared" si="9"/>
        <v>1</v>
      </c>
      <c r="N82" s="27" t="str">
        <f t="shared" si="10"/>
        <v>Alone</v>
      </c>
      <c r="O82" s="27" t="str">
        <f t="shared" si="11"/>
        <v>Low Fare</v>
      </c>
      <c r="P82" s="27" t="str">
        <f t="shared" si="12"/>
        <v>Third Class</v>
      </c>
      <c r="Q82" s="27">
        <f t="shared" si="13"/>
        <v>1</v>
      </c>
    </row>
    <row r="83" spans="1:17" x14ac:dyDescent="0.3">
      <c r="A83" s="16">
        <v>82</v>
      </c>
      <c r="B83" s="16">
        <v>1</v>
      </c>
      <c r="C83" s="16">
        <v>3</v>
      </c>
      <c r="D83" s="11" t="s">
        <v>172</v>
      </c>
      <c r="E83" s="11" t="s">
        <v>11</v>
      </c>
      <c r="F83" s="25">
        <v>29</v>
      </c>
      <c r="G83" s="16">
        <v>0</v>
      </c>
      <c r="H83" s="16">
        <v>0</v>
      </c>
      <c r="I83" s="11" t="s">
        <v>173</v>
      </c>
      <c r="J83" s="21">
        <v>9.5</v>
      </c>
      <c r="K83" s="27" t="str">
        <f t="shared" si="7"/>
        <v>Survived</v>
      </c>
      <c r="L83" s="27" t="str">
        <f t="shared" si="8"/>
        <v>Young Adult</v>
      </c>
      <c r="M83" s="28">
        <f t="shared" si="9"/>
        <v>1</v>
      </c>
      <c r="N83" s="27" t="str">
        <f t="shared" si="10"/>
        <v>Alone</v>
      </c>
      <c r="O83" s="27" t="str">
        <f t="shared" si="11"/>
        <v>Low Fare</v>
      </c>
      <c r="P83" s="27" t="str">
        <f t="shared" si="12"/>
        <v>Third Class</v>
      </c>
      <c r="Q83" s="27">
        <f t="shared" si="13"/>
        <v>1</v>
      </c>
    </row>
    <row r="84" spans="1:17" x14ac:dyDescent="0.3">
      <c r="A84" s="15">
        <v>83</v>
      </c>
      <c r="B84" s="15">
        <v>1</v>
      </c>
      <c r="C84" s="15">
        <v>3</v>
      </c>
      <c r="D84" s="8" t="s">
        <v>174</v>
      </c>
      <c r="E84" s="8" t="s">
        <v>14</v>
      </c>
      <c r="F84" s="24">
        <v>26</v>
      </c>
      <c r="G84" s="15">
        <v>0</v>
      </c>
      <c r="H84" s="15">
        <v>0</v>
      </c>
      <c r="I84" s="8" t="s">
        <v>175</v>
      </c>
      <c r="J84" s="20">
        <v>7.7874999999999996</v>
      </c>
      <c r="K84" s="27" t="str">
        <f t="shared" si="7"/>
        <v>Survived</v>
      </c>
      <c r="L84" s="27" t="str">
        <f t="shared" si="8"/>
        <v>Young Adult</v>
      </c>
      <c r="M84" s="28">
        <f t="shared" si="9"/>
        <v>1</v>
      </c>
      <c r="N84" s="27" t="str">
        <f t="shared" si="10"/>
        <v>Alone</v>
      </c>
      <c r="O84" s="27" t="str">
        <f t="shared" si="11"/>
        <v>Low Fare</v>
      </c>
      <c r="P84" s="27" t="str">
        <f t="shared" si="12"/>
        <v>Third Class</v>
      </c>
      <c r="Q84" s="27">
        <f t="shared" si="13"/>
        <v>2</v>
      </c>
    </row>
    <row r="85" spans="1:17" x14ac:dyDescent="0.3">
      <c r="A85" s="16">
        <v>84</v>
      </c>
      <c r="B85" s="16">
        <v>0</v>
      </c>
      <c r="C85" s="16">
        <v>1</v>
      </c>
      <c r="D85" s="11" t="s">
        <v>176</v>
      </c>
      <c r="E85" s="11" t="s">
        <v>11</v>
      </c>
      <c r="F85" s="25">
        <v>28</v>
      </c>
      <c r="G85" s="16">
        <v>0</v>
      </c>
      <c r="H85" s="16">
        <v>0</v>
      </c>
      <c r="I85" s="11" t="s">
        <v>177</v>
      </c>
      <c r="J85" s="21">
        <v>47.1</v>
      </c>
      <c r="K85" s="27" t="str">
        <f t="shared" si="7"/>
        <v>Died</v>
      </c>
      <c r="L85" s="27" t="str">
        <f t="shared" si="8"/>
        <v>Young Adult</v>
      </c>
      <c r="M85" s="28">
        <f t="shared" si="9"/>
        <v>1</v>
      </c>
      <c r="N85" s="27" t="str">
        <f t="shared" si="10"/>
        <v>Alone</v>
      </c>
      <c r="O85" s="27" t="str">
        <f t="shared" si="11"/>
        <v>Medium Fare</v>
      </c>
      <c r="P85" s="27" t="str">
        <f t="shared" si="12"/>
        <v>First Class</v>
      </c>
      <c r="Q85" s="27">
        <f t="shared" si="13"/>
        <v>1</v>
      </c>
    </row>
    <row r="86" spans="1:17" x14ac:dyDescent="0.3">
      <c r="A86" s="15">
        <v>85</v>
      </c>
      <c r="B86" s="15">
        <v>1</v>
      </c>
      <c r="C86" s="15">
        <v>2</v>
      </c>
      <c r="D86" s="8" t="s">
        <v>178</v>
      </c>
      <c r="E86" s="8" t="s">
        <v>14</v>
      </c>
      <c r="F86" s="24">
        <v>17</v>
      </c>
      <c r="G86" s="15">
        <v>0</v>
      </c>
      <c r="H86" s="15">
        <v>0</v>
      </c>
      <c r="I86" s="8" t="s">
        <v>179</v>
      </c>
      <c r="J86" s="20">
        <v>10.5</v>
      </c>
      <c r="K86" s="27" t="str">
        <f t="shared" si="7"/>
        <v>Survived</v>
      </c>
      <c r="L86" s="27" t="str">
        <f t="shared" si="8"/>
        <v>Child</v>
      </c>
      <c r="M86" s="28">
        <f t="shared" si="9"/>
        <v>1</v>
      </c>
      <c r="N86" s="27" t="str">
        <f t="shared" si="10"/>
        <v>Alone</v>
      </c>
      <c r="O86" s="27" t="str">
        <f t="shared" si="11"/>
        <v>Low Fare</v>
      </c>
      <c r="P86" s="27" t="str">
        <f t="shared" si="12"/>
        <v>Second Class</v>
      </c>
      <c r="Q86" s="27">
        <f t="shared" si="13"/>
        <v>2</v>
      </c>
    </row>
    <row r="87" spans="1:17" x14ac:dyDescent="0.3">
      <c r="A87" s="16">
        <v>86</v>
      </c>
      <c r="B87" s="16">
        <v>1</v>
      </c>
      <c r="C87" s="16">
        <v>3</v>
      </c>
      <c r="D87" s="11" t="s">
        <v>180</v>
      </c>
      <c r="E87" s="11" t="s">
        <v>14</v>
      </c>
      <c r="F87" s="25">
        <v>33</v>
      </c>
      <c r="G87" s="16">
        <v>3</v>
      </c>
      <c r="H87" s="16">
        <v>0</v>
      </c>
      <c r="I87" s="11" t="s">
        <v>181</v>
      </c>
      <c r="J87" s="21">
        <v>15.85</v>
      </c>
      <c r="K87" s="27" t="str">
        <f t="shared" si="7"/>
        <v>Survived</v>
      </c>
      <c r="L87" s="27" t="str">
        <f t="shared" si="8"/>
        <v>Young Adult</v>
      </c>
      <c r="M87" s="28">
        <f t="shared" si="9"/>
        <v>4</v>
      </c>
      <c r="N87" s="27" t="str">
        <f t="shared" si="10"/>
        <v>Small Family</v>
      </c>
      <c r="O87" s="27" t="str">
        <f t="shared" si="11"/>
        <v>Low Fare</v>
      </c>
      <c r="P87" s="27" t="str">
        <f t="shared" si="12"/>
        <v>Third Class</v>
      </c>
      <c r="Q87" s="27">
        <f t="shared" si="13"/>
        <v>2</v>
      </c>
    </row>
    <row r="88" spans="1:17" x14ac:dyDescent="0.3">
      <c r="A88" s="15">
        <v>87</v>
      </c>
      <c r="B88" s="15">
        <v>0</v>
      </c>
      <c r="C88" s="15">
        <v>3</v>
      </c>
      <c r="D88" s="8" t="s">
        <v>182</v>
      </c>
      <c r="E88" s="8" t="s">
        <v>11</v>
      </c>
      <c r="F88" s="24">
        <v>16</v>
      </c>
      <c r="G88" s="15">
        <v>1</v>
      </c>
      <c r="H88" s="15">
        <v>3</v>
      </c>
      <c r="I88" s="8" t="s">
        <v>183</v>
      </c>
      <c r="J88" s="20">
        <v>34.375</v>
      </c>
      <c r="K88" s="27" t="str">
        <f t="shared" si="7"/>
        <v>Died</v>
      </c>
      <c r="L88" s="27" t="str">
        <f t="shared" si="8"/>
        <v>Child</v>
      </c>
      <c r="M88" s="28">
        <f t="shared" si="9"/>
        <v>5</v>
      </c>
      <c r="N88" s="27" t="str">
        <f t="shared" si="10"/>
        <v>Large Family</v>
      </c>
      <c r="O88" s="27" t="str">
        <f t="shared" si="11"/>
        <v>Medium Fare</v>
      </c>
      <c r="P88" s="27" t="str">
        <f t="shared" si="12"/>
        <v>Third Class</v>
      </c>
      <c r="Q88" s="27">
        <f t="shared" si="13"/>
        <v>1</v>
      </c>
    </row>
    <row r="89" spans="1:17" x14ac:dyDescent="0.3">
      <c r="A89" s="16">
        <v>88</v>
      </c>
      <c r="B89" s="16">
        <v>0</v>
      </c>
      <c r="C89" s="16">
        <v>3</v>
      </c>
      <c r="D89" s="11" t="s">
        <v>184</v>
      </c>
      <c r="E89" s="11" t="s">
        <v>11</v>
      </c>
      <c r="F89" s="25">
        <v>26</v>
      </c>
      <c r="G89" s="16">
        <v>0</v>
      </c>
      <c r="H89" s="16">
        <v>0</v>
      </c>
      <c r="I89" s="11" t="s">
        <v>185</v>
      </c>
      <c r="J89" s="21">
        <v>8.0500000000000007</v>
      </c>
      <c r="K89" s="27" t="str">
        <f t="shared" si="7"/>
        <v>Died</v>
      </c>
      <c r="L89" s="27" t="str">
        <f t="shared" si="8"/>
        <v>Young Adult</v>
      </c>
      <c r="M89" s="28">
        <f t="shared" si="9"/>
        <v>1</v>
      </c>
      <c r="N89" s="27" t="str">
        <f t="shared" si="10"/>
        <v>Alone</v>
      </c>
      <c r="O89" s="27" t="str">
        <f t="shared" si="11"/>
        <v>Low Fare</v>
      </c>
      <c r="P89" s="27" t="str">
        <f t="shared" si="12"/>
        <v>Third Class</v>
      </c>
      <c r="Q89" s="27">
        <f t="shared" si="13"/>
        <v>1</v>
      </c>
    </row>
    <row r="90" spans="1:17" x14ac:dyDescent="0.3">
      <c r="A90" s="15">
        <v>89</v>
      </c>
      <c r="B90" s="15">
        <v>1</v>
      </c>
      <c r="C90" s="15">
        <v>1</v>
      </c>
      <c r="D90" s="8" t="s">
        <v>186</v>
      </c>
      <c r="E90" s="8" t="s">
        <v>14</v>
      </c>
      <c r="F90" s="24">
        <v>23</v>
      </c>
      <c r="G90" s="15">
        <v>3</v>
      </c>
      <c r="H90" s="15">
        <v>2</v>
      </c>
      <c r="I90" s="8" t="s">
        <v>66</v>
      </c>
      <c r="J90" s="20">
        <v>263</v>
      </c>
      <c r="K90" s="27" t="str">
        <f t="shared" si="7"/>
        <v>Survived</v>
      </c>
      <c r="L90" s="27" t="str">
        <f t="shared" si="8"/>
        <v>Young Adult</v>
      </c>
      <c r="M90" s="28">
        <f t="shared" si="9"/>
        <v>6</v>
      </c>
      <c r="N90" s="27" t="str">
        <f t="shared" si="10"/>
        <v>Large Family</v>
      </c>
      <c r="O90" s="27" t="str">
        <f t="shared" si="11"/>
        <v>High Fare</v>
      </c>
      <c r="P90" s="27" t="str">
        <f t="shared" si="12"/>
        <v>First Class</v>
      </c>
      <c r="Q90" s="27">
        <f t="shared" si="13"/>
        <v>2</v>
      </c>
    </row>
    <row r="91" spans="1:17" x14ac:dyDescent="0.3">
      <c r="A91" s="16">
        <v>90</v>
      </c>
      <c r="B91" s="16">
        <v>0</v>
      </c>
      <c r="C91" s="16">
        <v>3</v>
      </c>
      <c r="D91" s="11" t="s">
        <v>187</v>
      </c>
      <c r="E91" s="11" t="s">
        <v>11</v>
      </c>
      <c r="F91" s="25">
        <v>24</v>
      </c>
      <c r="G91" s="16">
        <v>0</v>
      </c>
      <c r="H91" s="16">
        <v>0</v>
      </c>
      <c r="I91" s="11" t="s">
        <v>188</v>
      </c>
      <c r="J91" s="21">
        <v>8.0500000000000007</v>
      </c>
      <c r="K91" s="27" t="str">
        <f t="shared" si="7"/>
        <v>Died</v>
      </c>
      <c r="L91" s="27" t="str">
        <f t="shared" si="8"/>
        <v>Young Adult</v>
      </c>
      <c r="M91" s="28">
        <f t="shared" si="9"/>
        <v>1</v>
      </c>
      <c r="N91" s="27" t="str">
        <f t="shared" si="10"/>
        <v>Alone</v>
      </c>
      <c r="O91" s="27" t="str">
        <f t="shared" si="11"/>
        <v>Low Fare</v>
      </c>
      <c r="P91" s="27" t="str">
        <f t="shared" si="12"/>
        <v>Third Class</v>
      </c>
      <c r="Q91" s="27">
        <f t="shared" si="13"/>
        <v>1</v>
      </c>
    </row>
    <row r="92" spans="1:17" x14ac:dyDescent="0.3">
      <c r="A92" s="15">
        <v>91</v>
      </c>
      <c r="B92" s="15">
        <v>0</v>
      </c>
      <c r="C92" s="15">
        <v>3</v>
      </c>
      <c r="D92" s="8" t="s">
        <v>189</v>
      </c>
      <c r="E92" s="8" t="s">
        <v>11</v>
      </c>
      <c r="F92" s="24">
        <v>29</v>
      </c>
      <c r="G92" s="15">
        <v>0</v>
      </c>
      <c r="H92" s="15">
        <v>0</v>
      </c>
      <c r="I92" s="8" t="s">
        <v>190</v>
      </c>
      <c r="J92" s="20">
        <v>8.0500000000000007</v>
      </c>
      <c r="K92" s="27" t="str">
        <f t="shared" si="7"/>
        <v>Died</v>
      </c>
      <c r="L92" s="27" t="str">
        <f t="shared" si="8"/>
        <v>Young Adult</v>
      </c>
      <c r="M92" s="28">
        <f t="shared" si="9"/>
        <v>1</v>
      </c>
      <c r="N92" s="27" t="str">
        <f t="shared" si="10"/>
        <v>Alone</v>
      </c>
      <c r="O92" s="27" t="str">
        <f t="shared" si="11"/>
        <v>Low Fare</v>
      </c>
      <c r="P92" s="27" t="str">
        <f t="shared" si="12"/>
        <v>Third Class</v>
      </c>
      <c r="Q92" s="27">
        <f t="shared" si="13"/>
        <v>1</v>
      </c>
    </row>
    <row r="93" spans="1:17" x14ac:dyDescent="0.3">
      <c r="A93" s="16">
        <v>92</v>
      </c>
      <c r="B93" s="16">
        <v>0</v>
      </c>
      <c r="C93" s="16">
        <v>3</v>
      </c>
      <c r="D93" s="11" t="s">
        <v>191</v>
      </c>
      <c r="E93" s="11" t="s">
        <v>11</v>
      </c>
      <c r="F93" s="25">
        <v>20</v>
      </c>
      <c r="G93" s="16">
        <v>0</v>
      </c>
      <c r="H93" s="16">
        <v>0</v>
      </c>
      <c r="I93" s="11" t="s">
        <v>192</v>
      </c>
      <c r="J93" s="21">
        <v>7.8541999999999996</v>
      </c>
      <c r="K93" s="27" t="str">
        <f t="shared" si="7"/>
        <v>Died</v>
      </c>
      <c r="L93" s="27" t="str">
        <f t="shared" si="8"/>
        <v>Young Adult</v>
      </c>
      <c r="M93" s="28">
        <f t="shared" si="9"/>
        <v>1</v>
      </c>
      <c r="N93" s="27" t="str">
        <f t="shared" si="10"/>
        <v>Alone</v>
      </c>
      <c r="O93" s="27" t="str">
        <f t="shared" si="11"/>
        <v>Low Fare</v>
      </c>
      <c r="P93" s="27" t="str">
        <f t="shared" si="12"/>
        <v>Third Class</v>
      </c>
      <c r="Q93" s="27">
        <f t="shared" si="13"/>
        <v>1</v>
      </c>
    </row>
    <row r="94" spans="1:17" x14ac:dyDescent="0.3">
      <c r="A94" s="15">
        <v>93</v>
      </c>
      <c r="B94" s="15">
        <v>0</v>
      </c>
      <c r="C94" s="15">
        <v>1</v>
      </c>
      <c r="D94" s="8" t="s">
        <v>193</v>
      </c>
      <c r="E94" s="8" t="s">
        <v>11</v>
      </c>
      <c r="F94" s="24">
        <v>46</v>
      </c>
      <c r="G94" s="15">
        <v>1</v>
      </c>
      <c r="H94" s="15">
        <v>0</v>
      </c>
      <c r="I94" s="8" t="s">
        <v>194</v>
      </c>
      <c r="J94" s="20">
        <v>61.174999999999997</v>
      </c>
      <c r="K94" s="27" t="str">
        <f t="shared" si="7"/>
        <v>Died</v>
      </c>
      <c r="L94" s="27" t="str">
        <f t="shared" si="8"/>
        <v>Adult</v>
      </c>
      <c r="M94" s="28">
        <f t="shared" si="9"/>
        <v>2</v>
      </c>
      <c r="N94" s="27" t="str">
        <f t="shared" si="10"/>
        <v>Small Family</v>
      </c>
      <c r="O94" s="27" t="str">
        <f t="shared" si="11"/>
        <v>Medium Fare</v>
      </c>
      <c r="P94" s="27" t="str">
        <f t="shared" si="12"/>
        <v>First Class</v>
      </c>
      <c r="Q94" s="27">
        <f t="shared" si="13"/>
        <v>1</v>
      </c>
    </row>
    <row r="95" spans="1:17" x14ac:dyDescent="0.3">
      <c r="A95" s="16">
        <v>94</v>
      </c>
      <c r="B95" s="16">
        <v>0</v>
      </c>
      <c r="C95" s="16">
        <v>3</v>
      </c>
      <c r="D95" s="11" t="s">
        <v>195</v>
      </c>
      <c r="E95" s="11" t="s">
        <v>11</v>
      </c>
      <c r="F95" s="25">
        <v>26</v>
      </c>
      <c r="G95" s="16">
        <v>1</v>
      </c>
      <c r="H95" s="16">
        <v>2</v>
      </c>
      <c r="I95" s="11" t="s">
        <v>196</v>
      </c>
      <c r="J95" s="21">
        <v>20.574999999999999</v>
      </c>
      <c r="K95" s="27" t="str">
        <f t="shared" si="7"/>
        <v>Died</v>
      </c>
      <c r="L95" s="27" t="str">
        <f t="shared" si="8"/>
        <v>Young Adult</v>
      </c>
      <c r="M95" s="28">
        <f t="shared" si="9"/>
        <v>4</v>
      </c>
      <c r="N95" s="27" t="str">
        <f t="shared" si="10"/>
        <v>Small Family</v>
      </c>
      <c r="O95" s="27" t="str">
        <f t="shared" si="11"/>
        <v>Low Fare</v>
      </c>
      <c r="P95" s="27" t="str">
        <f t="shared" si="12"/>
        <v>Third Class</v>
      </c>
      <c r="Q95" s="27">
        <f t="shared" si="13"/>
        <v>1</v>
      </c>
    </row>
    <row r="96" spans="1:17" x14ac:dyDescent="0.3">
      <c r="A96" s="15">
        <v>95</v>
      </c>
      <c r="B96" s="15">
        <v>0</v>
      </c>
      <c r="C96" s="15">
        <v>3</v>
      </c>
      <c r="D96" s="8" t="s">
        <v>197</v>
      </c>
      <c r="E96" s="8" t="s">
        <v>11</v>
      </c>
      <c r="F96" s="24">
        <v>59</v>
      </c>
      <c r="G96" s="15">
        <v>0</v>
      </c>
      <c r="H96" s="15">
        <v>0</v>
      </c>
      <c r="I96" s="8" t="s">
        <v>198</v>
      </c>
      <c r="J96" s="20">
        <v>7.25</v>
      </c>
      <c r="K96" s="27" t="str">
        <f t="shared" si="7"/>
        <v>Died</v>
      </c>
      <c r="L96" s="27" t="str">
        <f t="shared" si="8"/>
        <v>Adult</v>
      </c>
      <c r="M96" s="28">
        <f t="shared" si="9"/>
        <v>1</v>
      </c>
      <c r="N96" s="27" t="str">
        <f t="shared" si="10"/>
        <v>Alone</v>
      </c>
      <c r="O96" s="27" t="str">
        <f t="shared" si="11"/>
        <v>Low Fare</v>
      </c>
      <c r="P96" s="27" t="str">
        <f t="shared" si="12"/>
        <v>Third Class</v>
      </c>
      <c r="Q96" s="27">
        <f t="shared" si="13"/>
        <v>1</v>
      </c>
    </row>
    <row r="97" spans="1:17" x14ac:dyDescent="0.3">
      <c r="A97" s="16">
        <v>96</v>
      </c>
      <c r="B97" s="16">
        <v>0</v>
      </c>
      <c r="C97" s="16">
        <v>3</v>
      </c>
      <c r="D97" s="11" t="s">
        <v>199</v>
      </c>
      <c r="E97" s="11" t="s">
        <v>11</v>
      </c>
      <c r="F97" s="25">
        <v>26</v>
      </c>
      <c r="G97" s="16">
        <v>0</v>
      </c>
      <c r="H97" s="16">
        <v>0</v>
      </c>
      <c r="I97" s="11" t="s">
        <v>200</v>
      </c>
      <c r="J97" s="21">
        <v>8.0500000000000007</v>
      </c>
      <c r="K97" s="27" t="str">
        <f t="shared" si="7"/>
        <v>Died</v>
      </c>
      <c r="L97" s="27" t="str">
        <f t="shared" si="8"/>
        <v>Young Adult</v>
      </c>
      <c r="M97" s="28">
        <f t="shared" si="9"/>
        <v>1</v>
      </c>
      <c r="N97" s="27" t="str">
        <f t="shared" si="10"/>
        <v>Alone</v>
      </c>
      <c r="O97" s="27" t="str">
        <f t="shared" si="11"/>
        <v>Low Fare</v>
      </c>
      <c r="P97" s="27" t="str">
        <f t="shared" si="12"/>
        <v>Third Class</v>
      </c>
      <c r="Q97" s="27">
        <f t="shared" si="13"/>
        <v>1</v>
      </c>
    </row>
    <row r="98" spans="1:17" x14ac:dyDescent="0.3">
      <c r="A98" s="15">
        <v>97</v>
      </c>
      <c r="B98" s="15">
        <v>0</v>
      </c>
      <c r="C98" s="15">
        <v>1</v>
      </c>
      <c r="D98" s="8" t="s">
        <v>201</v>
      </c>
      <c r="E98" s="8" t="s">
        <v>11</v>
      </c>
      <c r="F98" s="24">
        <v>71</v>
      </c>
      <c r="G98" s="15">
        <v>0</v>
      </c>
      <c r="H98" s="15">
        <v>0</v>
      </c>
      <c r="I98" s="8" t="s">
        <v>202</v>
      </c>
      <c r="J98" s="20">
        <v>34.654200000000003</v>
      </c>
      <c r="K98" s="27" t="str">
        <f t="shared" si="7"/>
        <v>Died</v>
      </c>
      <c r="L98" s="27" t="str">
        <f t="shared" si="8"/>
        <v>Senior</v>
      </c>
      <c r="M98" s="28">
        <f t="shared" si="9"/>
        <v>1</v>
      </c>
      <c r="N98" s="27" t="str">
        <f t="shared" si="10"/>
        <v>Alone</v>
      </c>
      <c r="O98" s="27" t="str">
        <f t="shared" si="11"/>
        <v>Medium Fare</v>
      </c>
      <c r="P98" s="27" t="str">
        <f t="shared" si="12"/>
        <v>First Class</v>
      </c>
      <c r="Q98" s="27">
        <f t="shared" si="13"/>
        <v>1</v>
      </c>
    </row>
    <row r="99" spans="1:17" x14ac:dyDescent="0.3">
      <c r="A99" s="16">
        <v>98</v>
      </c>
      <c r="B99" s="16">
        <v>1</v>
      </c>
      <c r="C99" s="16">
        <v>1</v>
      </c>
      <c r="D99" s="11" t="s">
        <v>203</v>
      </c>
      <c r="E99" s="11" t="s">
        <v>11</v>
      </c>
      <c r="F99" s="25">
        <v>23</v>
      </c>
      <c r="G99" s="16">
        <v>0</v>
      </c>
      <c r="H99" s="16">
        <v>1</v>
      </c>
      <c r="I99" s="11" t="s">
        <v>204</v>
      </c>
      <c r="J99" s="21">
        <v>63.3583</v>
      </c>
      <c r="K99" s="27" t="str">
        <f t="shared" si="7"/>
        <v>Survived</v>
      </c>
      <c r="L99" s="27" t="str">
        <f t="shared" si="8"/>
        <v>Young Adult</v>
      </c>
      <c r="M99" s="28">
        <f t="shared" si="9"/>
        <v>2</v>
      </c>
      <c r="N99" s="27" t="str">
        <f t="shared" si="10"/>
        <v>Small Family</v>
      </c>
      <c r="O99" s="27" t="str">
        <f t="shared" si="11"/>
        <v>Medium Fare</v>
      </c>
      <c r="P99" s="27" t="str">
        <f t="shared" si="12"/>
        <v>First Class</v>
      </c>
      <c r="Q99" s="27">
        <f t="shared" si="13"/>
        <v>1</v>
      </c>
    </row>
    <row r="100" spans="1:17" x14ac:dyDescent="0.3">
      <c r="A100" s="15">
        <v>99</v>
      </c>
      <c r="B100" s="15">
        <v>1</v>
      </c>
      <c r="C100" s="15">
        <v>2</v>
      </c>
      <c r="D100" s="8" t="s">
        <v>205</v>
      </c>
      <c r="E100" s="8" t="s">
        <v>14</v>
      </c>
      <c r="F100" s="24">
        <v>34</v>
      </c>
      <c r="G100" s="15">
        <v>0</v>
      </c>
      <c r="H100" s="15">
        <v>1</v>
      </c>
      <c r="I100" s="8" t="s">
        <v>206</v>
      </c>
      <c r="J100" s="20">
        <v>23</v>
      </c>
      <c r="K100" s="27" t="str">
        <f t="shared" si="7"/>
        <v>Survived</v>
      </c>
      <c r="L100" s="27" t="str">
        <f t="shared" si="8"/>
        <v>Young Adult</v>
      </c>
      <c r="M100" s="28">
        <f t="shared" si="9"/>
        <v>2</v>
      </c>
      <c r="N100" s="27" t="str">
        <f t="shared" si="10"/>
        <v>Small Family</v>
      </c>
      <c r="O100" s="27" t="str">
        <f t="shared" si="11"/>
        <v>Low Fare</v>
      </c>
      <c r="P100" s="27" t="str">
        <f t="shared" si="12"/>
        <v>Second Class</v>
      </c>
      <c r="Q100" s="27">
        <f t="shared" si="13"/>
        <v>2</v>
      </c>
    </row>
    <row r="101" spans="1:17" x14ac:dyDescent="0.3">
      <c r="A101" s="16">
        <v>100</v>
      </c>
      <c r="B101" s="16">
        <v>0</v>
      </c>
      <c r="C101" s="16">
        <v>2</v>
      </c>
      <c r="D101" s="11" t="s">
        <v>207</v>
      </c>
      <c r="E101" s="11" t="s">
        <v>11</v>
      </c>
      <c r="F101" s="25">
        <v>34</v>
      </c>
      <c r="G101" s="16">
        <v>1</v>
      </c>
      <c r="H101" s="16">
        <v>0</v>
      </c>
      <c r="I101" s="11" t="s">
        <v>208</v>
      </c>
      <c r="J101" s="21">
        <v>26</v>
      </c>
      <c r="K101" s="27" t="str">
        <f t="shared" si="7"/>
        <v>Died</v>
      </c>
      <c r="L101" s="27" t="str">
        <f t="shared" si="8"/>
        <v>Young Adult</v>
      </c>
      <c r="M101" s="28">
        <f t="shared" si="9"/>
        <v>2</v>
      </c>
      <c r="N101" s="27" t="str">
        <f t="shared" si="10"/>
        <v>Small Family</v>
      </c>
      <c r="O101" s="27" t="str">
        <f t="shared" si="11"/>
        <v>Medium Fare</v>
      </c>
      <c r="P101" s="27" t="str">
        <f t="shared" si="12"/>
        <v>Second Class</v>
      </c>
      <c r="Q101" s="27">
        <f t="shared" si="13"/>
        <v>1</v>
      </c>
    </row>
    <row r="102" spans="1:17" x14ac:dyDescent="0.3">
      <c r="A102" s="15">
        <v>101</v>
      </c>
      <c r="B102" s="15">
        <v>0</v>
      </c>
      <c r="C102" s="15">
        <v>3</v>
      </c>
      <c r="D102" s="8" t="s">
        <v>209</v>
      </c>
      <c r="E102" s="8" t="s">
        <v>14</v>
      </c>
      <c r="F102" s="24">
        <v>28</v>
      </c>
      <c r="G102" s="15">
        <v>0</v>
      </c>
      <c r="H102" s="15">
        <v>0</v>
      </c>
      <c r="I102" s="8" t="s">
        <v>210</v>
      </c>
      <c r="J102" s="20">
        <v>7.8958000000000004</v>
      </c>
      <c r="K102" s="27" t="str">
        <f t="shared" si="7"/>
        <v>Died</v>
      </c>
      <c r="L102" s="27" t="str">
        <f t="shared" si="8"/>
        <v>Young Adult</v>
      </c>
      <c r="M102" s="28">
        <f t="shared" si="9"/>
        <v>1</v>
      </c>
      <c r="N102" s="27" t="str">
        <f t="shared" si="10"/>
        <v>Alone</v>
      </c>
      <c r="O102" s="27" t="str">
        <f t="shared" si="11"/>
        <v>Low Fare</v>
      </c>
      <c r="P102" s="27" t="str">
        <f t="shared" si="12"/>
        <v>Third Class</v>
      </c>
      <c r="Q102" s="27">
        <f t="shared" si="13"/>
        <v>2</v>
      </c>
    </row>
    <row r="103" spans="1:17" x14ac:dyDescent="0.3">
      <c r="A103" s="16">
        <v>102</v>
      </c>
      <c r="B103" s="16">
        <v>0</v>
      </c>
      <c r="C103" s="16">
        <v>3</v>
      </c>
      <c r="D103" s="11" t="s">
        <v>211</v>
      </c>
      <c r="E103" s="11" t="s">
        <v>11</v>
      </c>
      <c r="F103" s="25">
        <v>26</v>
      </c>
      <c r="G103" s="16">
        <v>0</v>
      </c>
      <c r="H103" s="16">
        <v>0</v>
      </c>
      <c r="I103" s="11" t="s">
        <v>212</v>
      </c>
      <c r="J103" s="21">
        <v>7.8958000000000004</v>
      </c>
      <c r="K103" s="27" t="str">
        <f t="shared" si="7"/>
        <v>Died</v>
      </c>
      <c r="L103" s="27" t="str">
        <f t="shared" si="8"/>
        <v>Young Adult</v>
      </c>
      <c r="M103" s="28">
        <f t="shared" si="9"/>
        <v>1</v>
      </c>
      <c r="N103" s="27" t="str">
        <f t="shared" si="10"/>
        <v>Alone</v>
      </c>
      <c r="O103" s="27" t="str">
        <f t="shared" si="11"/>
        <v>Low Fare</v>
      </c>
      <c r="P103" s="27" t="str">
        <f t="shared" si="12"/>
        <v>Third Class</v>
      </c>
      <c r="Q103" s="27">
        <f t="shared" si="13"/>
        <v>1</v>
      </c>
    </row>
    <row r="104" spans="1:17" x14ac:dyDescent="0.3">
      <c r="A104" s="15">
        <v>103</v>
      </c>
      <c r="B104" s="15">
        <v>0</v>
      </c>
      <c r="C104" s="15">
        <v>1</v>
      </c>
      <c r="D104" s="8" t="s">
        <v>213</v>
      </c>
      <c r="E104" s="8" t="s">
        <v>11</v>
      </c>
      <c r="F104" s="24">
        <v>21</v>
      </c>
      <c r="G104" s="15">
        <v>0</v>
      </c>
      <c r="H104" s="15">
        <v>1</v>
      </c>
      <c r="I104" s="8" t="s">
        <v>214</v>
      </c>
      <c r="J104" s="20">
        <v>77.287499999999994</v>
      </c>
      <c r="K104" s="27" t="str">
        <f t="shared" si="7"/>
        <v>Died</v>
      </c>
      <c r="L104" s="27" t="str">
        <f t="shared" si="8"/>
        <v>Young Adult</v>
      </c>
      <c r="M104" s="28">
        <f t="shared" si="9"/>
        <v>2</v>
      </c>
      <c r="N104" s="27" t="str">
        <f t="shared" si="10"/>
        <v>Small Family</v>
      </c>
      <c r="O104" s="27" t="str">
        <f t="shared" si="11"/>
        <v>Medium Fare</v>
      </c>
      <c r="P104" s="27" t="str">
        <f t="shared" si="12"/>
        <v>First Class</v>
      </c>
      <c r="Q104" s="27">
        <f t="shared" si="13"/>
        <v>1</v>
      </c>
    </row>
    <row r="105" spans="1:17" x14ac:dyDescent="0.3">
      <c r="A105" s="16">
        <v>104</v>
      </c>
      <c r="B105" s="16">
        <v>0</v>
      </c>
      <c r="C105" s="16">
        <v>3</v>
      </c>
      <c r="D105" s="11" t="s">
        <v>215</v>
      </c>
      <c r="E105" s="11" t="s">
        <v>11</v>
      </c>
      <c r="F105" s="25">
        <v>33</v>
      </c>
      <c r="G105" s="16">
        <v>0</v>
      </c>
      <c r="H105" s="16">
        <v>0</v>
      </c>
      <c r="I105" s="11" t="s">
        <v>216</v>
      </c>
      <c r="J105" s="21">
        <v>8.6541999999999994</v>
      </c>
      <c r="K105" s="27" t="str">
        <f t="shared" si="7"/>
        <v>Died</v>
      </c>
      <c r="L105" s="27" t="str">
        <f t="shared" si="8"/>
        <v>Young Adult</v>
      </c>
      <c r="M105" s="28">
        <f t="shared" si="9"/>
        <v>1</v>
      </c>
      <c r="N105" s="27" t="str">
        <f t="shared" si="10"/>
        <v>Alone</v>
      </c>
      <c r="O105" s="27" t="str">
        <f t="shared" si="11"/>
        <v>Low Fare</v>
      </c>
      <c r="P105" s="27" t="str">
        <f t="shared" si="12"/>
        <v>Third Class</v>
      </c>
      <c r="Q105" s="27">
        <f t="shared" si="13"/>
        <v>1</v>
      </c>
    </row>
    <row r="106" spans="1:17" x14ac:dyDescent="0.3">
      <c r="A106" s="15">
        <v>105</v>
      </c>
      <c r="B106" s="15">
        <v>0</v>
      </c>
      <c r="C106" s="15">
        <v>3</v>
      </c>
      <c r="D106" s="8" t="s">
        <v>217</v>
      </c>
      <c r="E106" s="8" t="s">
        <v>11</v>
      </c>
      <c r="F106" s="24">
        <v>37</v>
      </c>
      <c r="G106" s="15">
        <v>2</v>
      </c>
      <c r="H106" s="15">
        <v>0</v>
      </c>
      <c r="I106" s="8" t="s">
        <v>218</v>
      </c>
      <c r="J106" s="20">
        <v>7.9249999999999998</v>
      </c>
      <c r="K106" s="27" t="str">
        <f t="shared" si="7"/>
        <v>Died</v>
      </c>
      <c r="L106" s="27" t="str">
        <f t="shared" si="8"/>
        <v>Adult</v>
      </c>
      <c r="M106" s="28">
        <f t="shared" si="9"/>
        <v>3</v>
      </c>
      <c r="N106" s="27" t="str">
        <f t="shared" si="10"/>
        <v>Small Family</v>
      </c>
      <c r="O106" s="27" t="str">
        <f t="shared" si="11"/>
        <v>Low Fare</v>
      </c>
      <c r="P106" s="27" t="str">
        <f t="shared" si="12"/>
        <v>Third Class</v>
      </c>
      <c r="Q106" s="27">
        <f t="shared" si="13"/>
        <v>1</v>
      </c>
    </row>
    <row r="107" spans="1:17" x14ac:dyDescent="0.3">
      <c r="A107" s="16">
        <v>106</v>
      </c>
      <c r="B107" s="16">
        <v>0</v>
      </c>
      <c r="C107" s="16">
        <v>3</v>
      </c>
      <c r="D107" s="11" t="s">
        <v>219</v>
      </c>
      <c r="E107" s="11" t="s">
        <v>11</v>
      </c>
      <c r="F107" s="25">
        <v>28</v>
      </c>
      <c r="G107" s="16">
        <v>0</v>
      </c>
      <c r="H107" s="16">
        <v>0</v>
      </c>
      <c r="I107" s="11" t="s">
        <v>220</v>
      </c>
      <c r="J107" s="21">
        <v>7.8958000000000004</v>
      </c>
      <c r="K107" s="27" t="str">
        <f t="shared" si="7"/>
        <v>Died</v>
      </c>
      <c r="L107" s="27" t="str">
        <f t="shared" si="8"/>
        <v>Young Adult</v>
      </c>
      <c r="M107" s="28">
        <f t="shared" si="9"/>
        <v>1</v>
      </c>
      <c r="N107" s="27" t="str">
        <f t="shared" si="10"/>
        <v>Alone</v>
      </c>
      <c r="O107" s="27" t="str">
        <f t="shared" si="11"/>
        <v>Low Fare</v>
      </c>
      <c r="P107" s="27" t="str">
        <f t="shared" si="12"/>
        <v>Third Class</v>
      </c>
      <c r="Q107" s="27">
        <f t="shared" si="13"/>
        <v>1</v>
      </c>
    </row>
    <row r="108" spans="1:17" x14ac:dyDescent="0.3">
      <c r="A108" s="15">
        <v>107</v>
      </c>
      <c r="B108" s="15">
        <v>1</v>
      </c>
      <c r="C108" s="15">
        <v>3</v>
      </c>
      <c r="D108" s="8" t="s">
        <v>221</v>
      </c>
      <c r="E108" s="8" t="s">
        <v>14</v>
      </c>
      <c r="F108" s="24">
        <v>21</v>
      </c>
      <c r="G108" s="15">
        <v>0</v>
      </c>
      <c r="H108" s="15">
        <v>0</v>
      </c>
      <c r="I108" s="8" t="s">
        <v>222</v>
      </c>
      <c r="J108" s="20">
        <v>7.65</v>
      </c>
      <c r="K108" s="27" t="str">
        <f t="shared" si="7"/>
        <v>Survived</v>
      </c>
      <c r="L108" s="27" t="str">
        <f t="shared" si="8"/>
        <v>Young Adult</v>
      </c>
      <c r="M108" s="28">
        <f t="shared" si="9"/>
        <v>1</v>
      </c>
      <c r="N108" s="27" t="str">
        <f t="shared" si="10"/>
        <v>Alone</v>
      </c>
      <c r="O108" s="27" t="str">
        <f t="shared" si="11"/>
        <v>Low Fare</v>
      </c>
      <c r="P108" s="27" t="str">
        <f t="shared" si="12"/>
        <v>Third Class</v>
      </c>
      <c r="Q108" s="27">
        <f t="shared" si="13"/>
        <v>2</v>
      </c>
    </row>
    <row r="109" spans="1:17" x14ac:dyDescent="0.3">
      <c r="A109" s="16">
        <v>108</v>
      </c>
      <c r="B109" s="16">
        <v>1</v>
      </c>
      <c r="C109" s="16">
        <v>3</v>
      </c>
      <c r="D109" s="11" t="s">
        <v>223</v>
      </c>
      <c r="E109" s="11" t="s">
        <v>11</v>
      </c>
      <c r="F109" s="25">
        <v>26</v>
      </c>
      <c r="G109" s="16">
        <v>0</v>
      </c>
      <c r="H109" s="16">
        <v>0</v>
      </c>
      <c r="I109" s="11" t="s">
        <v>224</v>
      </c>
      <c r="J109" s="21">
        <v>7.7750000000000004</v>
      </c>
      <c r="K109" s="27" t="str">
        <f t="shared" si="7"/>
        <v>Survived</v>
      </c>
      <c r="L109" s="27" t="str">
        <f t="shared" si="8"/>
        <v>Young Adult</v>
      </c>
      <c r="M109" s="28">
        <f t="shared" si="9"/>
        <v>1</v>
      </c>
      <c r="N109" s="27" t="str">
        <f t="shared" si="10"/>
        <v>Alone</v>
      </c>
      <c r="O109" s="27" t="str">
        <f t="shared" si="11"/>
        <v>Low Fare</v>
      </c>
      <c r="P109" s="27" t="str">
        <f t="shared" si="12"/>
        <v>Third Class</v>
      </c>
      <c r="Q109" s="27">
        <f t="shared" si="13"/>
        <v>1</v>
      </c>
    </row>
    <row r="110" spans="1:17" x14ac:dyDescent="0.3">
      <c r="A110" s="15">
        <v>109</v>
      </c>
      <c r="B110" s="15">
        <v>0</v>
      </c>
      <c r="C110" s="15">
        <v>3</v>
      </c>
      <c r="D110" s="8" t="s">
        <v>225</v>
      </c>
      <c r="E110" s="8" t="s">
        <v>11</v>
      </c>
      <c r="F110" s="24">
        <v>38</v>
      </c>
      <c r="G110" s="15">
        <v>0</v>
      </c>
      <c r="H110" s="15">
        <v>0</v>
      </c>
      <c r="I110" s="8" t="s">
        <v>226</v>
      </c>
      <c r="J110" s="20">
        <v>7.8958000000000004</v>
      </c>
      <c r="K110" s="27" t="str">
        <f t="shared" si="7"/>
        <v>Died</v>
      </c>
      <c r="L110" s="27" t="str">
        <f t="shared" si="8"/>
        <v>Adult</v>
      </c>
      <c r="M110" s="28">
        <f t="shared" si="9"/>
        <v>1</v>
      </c>
      <c r="N110" s="27" t="str">
        <f t="shared" si="10"/>
        <v>Alone</v>
      </c>
      <c r="O110" s="27" t="str">
        <f t="shared" si="11"/>
        <v>Low Fare</v>
      </c>
      <c r="P110" s="27" t="str">
        <f t="shared" si="12"/>
        <v>Third Class</v>
      </c>
      <c r="Q110" s="27">
        <f t="shared" si="13"/>
        <v>1</v>
      </c>
    </row>
    <row r="111" spans="1:17" x14ac:dyDescent="0.3">
      <c r="A111" s="16">
        <v>110</v>
      </c>
      <c r="B111" s="16">
        <v>1</v>
      </c>
      <c r="C111" s="16">
        <v>3</v>
      </c>
      <c r="D111" s="11" t="s">
        <v>227</v>
      </c>
      <c r="E111" s="11" t="s">
        <v>14</v>
      </c>
      <c r="F111" s="25">
        <v>26</v>
      </c>
      <c r="G111" s="16">
        <v>1</v>
      </c>
      <c r="H111" s="16">
        <v>0</v>
      </c>
      <c r="I111" s="11" t="s">
        <v>228</v>
      </c>
      <c r="J111" s="21">
        <v>24.15</v>
      </c>
      <c r="K111" s="27" t="str">
        <f t="shared" si="7"/>
        <v>Survived</v>
      </c>
      <c r="L111" s="27" t="str">
        <f t="shared" si="8"/>
        <v>Young Adult</v>
      </c>
      <c r="M111" s="28">
        <f t="shared" si="9"/>
        <v>2</v>
      </c>
      <c r="N111" s="27" t="str">
        <f t="shared" si="10"/>
        <v>Small Family</v>
      </c>
      <c r="O111" s="27" t="str">
        <f t="shared" si="11"/>
        <v>Low Fare</v>
      </c>
      <c r="P111" s="27" t="str">
        <f t="shared" si="12"/>
        <v>Third Class</v>
      </c>
      <c r="Q111" s="27">
        <f t="shared" si="13"/>
        <v>2</v>
      </c>
    </row>
    <row r="112" spans="1:17" x14ac:dyDescent="0.3">
      <c r="A112" s="15">
        <v>111</v>
      </c>
      <c r="B112" s="15">
        <v>0</v>
      </c>
      <c r="C112" s="15">
        <v>1</v>
      </c>
      <c r="D112" s="8" t="s">
        <v>229</v>
      </c>
      <c r="E112" s="8" t="s">
        <v>11</v>
      </c>
      <c r="F112" s="24">
        <v>47</v>
      </c>
      <c r="G112" s="15">
        <v>0</v>
      </c>
      <c r="H112" s="15">
        <v>0</v>
      </c>
      <c r="I112" s="8" t="s">
        <v>230</v>
      </c>
      <c r="J112" s="20">
        <v>52</v>
      </c>
      <c r="K112" s="27" t="str">
        <f t="shared" si="7"/>
        <v>Died</v>
      </c>
      <c r="L112" s="27" t="str">
        <f t="shared" si="8"/>
        <v>Adult</v>
      </c>
      <c r="M112" s="28">
        <f t="shared" si="9"/>
        <v>1</v>
      </c>
      <c r="N112" s="27" t="str">
        <f t="shared" si="10"/>
        <v>Alone</v>
      </c>
      <c r="O112" s="27" t="str">
        <f t="shared" si="11"/>
        <v>Medium Fare</v>
      </c>
      <c r="P112" s="27" t="str">
        <f t="shared" si="12"/>
        <v>First Class</v>
      </c>
      <c r="Q112" s="27">
        <f t="shared" si="13"/>
        <v>1</v>
      </c>
    </row>
    <row r="113" spans="1:17" x14ac:dyDescent="0.3">
      <c r="A113" s="16">
        <v>112</v>
      </c>
      <c r="B113" s="16">
        <v>0</v>
      </c>
      <c r="C113" s="16">
        <v>3</v>
      </c>
      <c r="D113" s="11" t="s">
        <v>231</v>
      </c>
      <c r="E113" s="11" t="s">
        <v>14</v>
      </c>
      <c r="F113" s="25">
        <v>14.5</v>
      </c>
      <c r="G113" s="16">
        <v>1</v>
      </c>
      <c r="H113" s="16">
        <v>0</v>
      </c>
      <c r="I113" s="11" t="s">
        <v>232</v>
      </c>
      <c r="J113" s="21">
        <v>14.4542</v>
      </c>
      <c r="K113" s="27" t="str">
        <f t="shared" si="7"/>
        <v>Died</v>
      </c>
      <c r="L113" s="27" t="str">
        <f t="shared" si="8"/>
        <v>Child</v>
      </c>
      <c r="M113" s="28">
        <f t="shared" si="9"/>
        <v>2</v>
      </c>
      <c r="N113" s="27" t="str">
        <f t="shared" si="10"/>
        <v>Small Family</v>
      </c>
      <c r="O113" s="27" t="str">
        <f t="shared" si="11"/>
        <v>Low Fare</v>
      </c>
      <c r="P113" s="27" t="str">
        <f t="shared" si="12"/>
        <v>Third Class</v>
      </c>
      <c r="Q113" s="27">
        <f t="shared" si="13"/>
        <v>2</v>
      </c>
    </row>
    <row r="114" spans="1:17" x14ac:dyDescent="0.3">
      <c r="A114" s="15">
        <v>113</v>
      </c>
      <c r="B114" s="15">
        <v>0</v>
      </c>
      <c r="C114" s="15">
        <v>3</v>
      </c>
      <c r="D114" s="8" t="s">
        <v>233</v>
      </c>
      <c r="E114" s="8" t="s">
        <v>11</v>
      </c>
      <c r="F114" s="24">
        <v>22</v>
      </c>
      <c r="G114" s="15">
        <v>0</v>
      </c>
      <c r="H114" s="15">
        <v>0</v>
      </c>
      <c r="I114" s="8" t="s">
        <v>234</v>
      </c>
      <c r="J114" s="20">
        <v>8.0500000000000007</v>
      </c>
      <c r="K114" s="27" t="str">
        <f t="shared" si="7"/>
        <v>Died</v>
      </c>
      <c r="L114" s="27" t="str">
        <f t="shared" si="8"/>
        <v>Young Adult</v>
      </c>
      <c r="M114" s="28">
        <f t="shared" si="9"/>
        <v>1</v>
      </c>
      <c r="N114" s="27" t="str">
        <f t="shared" si="10"/>
        <v>Alone</v>
      </c>
      <c r="O114" s="27" t="str">
        <f t="shared" si="11"/>
        <v>Low Fare</v>
      </c>
      <c r="P114" s="27" t="str">
        <f t="shared" si="12"/>
        <v>Third Class</v>
      </c>
      <c r="Q114" s="27">
        <f t="shared" si="13"/>
        <v>1</v>
      </c>
    </row>
    <row r="115" spans="1:17" x14ac:dyDescent="0.3">
      <c r="A115" s="16">
        <v>114</v>
      </c>
      <c r="B115" s="16">
        <v>0</v>
      </c>
      <c r="C115" s="16">
        <v>3</v>
      </c>
      <c r="D115" s="11" t="s">
        <v>235</v>
      </c>
      <c r="E115" s="11" t="s">
        <v>14</v>
      </c>
      <c r="F115" s="25">
        <v>20</v>
      </c>
      <c r="G115" s="16">
        <v>1</v>
      </c>
      <c r="H115" s="16">
        <v>0</v>
      </c>
      <c r="I115" s="11" t="s">
        <v>236</v>
      </c>
      <c r="J115" s="21">
        <v>9.8249999999999993</v>
      </c>
      <c r="K115" s="27" t="str">
        <f t="shared" si="7"/>
        <v>Died</v>
      </c>
      <c r="L115" s="27" t="str">
        <f t="shared" si="8"/>
        <v>Young Adult</v>
      </c>
      <c r="M115" s="28">
        <f t="shared" si="9"/>
        <v>2</v>
      </c>
      <c r="N115" s="27" t="str">
        <f t="shared" si="10"/>
        <v>Small Family</v>
      </c>
      <c r="O115" s="27" t="str">
        <f t="shared" si="11"/>
        <v>Low Fare</v>
      </c>
      <c r="P115" s="27" t="str">
        <f t="shared" si="12"/>
        <v>Third Class</v>
      </c>
      <c r="Q115" s="27">
        <f t="shared" si="13"/>
        <v>2</v>
      </c>
    </row>
    <row r="116" spans="1:17" x14ac:dyDescent="0.3">
      <c r="A116" s="15">
        <v>115</v>
      </c>
      <c r="B116" s="15">
        <v>0</v>
      </c>
      <c r="C116" s="15">
        <v>3</v>
      </c>
      <c r="D116" s="8" t="s">
        <v>237</v>
      </c>
      <c r="E116" s="8" t="s">
        <v>14</v>
      </c>
      <c r="F116" s="24">
        <v>17</v>
      </c>
      <c r="G116" s="15">
        <v>0</v>
      </c>
      <c r="H116" s="15">
        <v>0</v>
      </c>
      <c r="I116" s="8" t="s">
        <v>238</v>
      </c>
      <c r="J116" s="20">
        <v>14.458299999999999</v>
      </c>
      <c r="K116" s="27" t="str">
        <f t="shared" si="7"/>
        <v>Died</v>
      </c>
      <c r="L116" s="27" t="str">
        <f t="shared" si="8"/>
        <v>Child</v>
      </c>
      <c r="M116" s="28">
        <f t="shared" si="9"/>
        <v>1</v>
      </c>
      <c r="N116" s="27" t="str">
        <f t="shared" si="10"/>
        <v>Alone</v>
      </c>
      <c r="O116" s="27" t="str">
        <f t="shared" si="11"/>
        <v>Low Fare</v>
      </c>
      <c r="P116" s="27" t="str">
        <f t="shared" si="12"/>
        <v>Third Class</v>
      </c>
      <c r="Q116" s="27">
        <f t="shared" si="13"/>
        <v>2</v>
      </c>
    </row>
    <row r="117" spans="1:17" x14ac:dyDescent="0.3">
      <c r="A117" s="16">
        <v>116</v>
      </c>
      <c r="B117" s="16">
        <v>0</v>
      </c>
      <c r="C117" s="16">
        <v>3</v>
      </c>
      <c r="D117" s="11" t="s">
        <v>239</v>
      </c>
      <c r="E117" s="11" t="s">
        <v>11</v>
      </c>
      <c r="F117" s="25">
        <v>21</v>
      </c>
      <c r="G117" s="16">
        <v>0</v>
      </c>
      <c r="H117" s="16">
        <v>0</v>
      </c>
      <c r="I117" s="11" t="s">
        <v>240</v>
      </c>
      <c r="J117" s="21">
        <v>7.9249999999999998</v>
      </c>
      <c r="K117" s="27" t="str">
        <f t="shared" si="7"/>
        <v>Died</v>
      </c>
      <c r="L117" s="27" t="str">
        <f t="shared" si="8"/>
        <v>Young Adult</v>
      </c>
      <c r="M117" s="28">
        <f t="shared" si="9"/>
        <v>1</v>
      </c>
      <c r="N117" s="27" t="str">
        <f t="shared" si="10"/>
        <v>Alone</v>
      </c>
      <c r="O117" s="27" t="str">
        <f t="shared" si="11"/>
        <v>Low Fare</v>
      </c>
      <c r="P117" s="27" t="str">
        <f t="shared" si="12"/>
        <v>Third Class</v>
      </c>
      <c r="Q117" s="27">
        <f t="shared" si="13"/>
        <v>1</v>
      </c>
    </row>
    <row r="118" spans="1:17" x14ac:dyDescent="0.3">
      <c r="A118" s="15">
        <v>117</v>
      </c>
      <c r="B118" s="15">
        <v>0</v>
      </c>
      <c r="C118" s="15">
        <v>3</v>
      </c>
      <c r="D118" s="8" t="s">
        <v>241</v>
      </c>
      <c r="E118" s="8" t="s">
        <v>11</v>
      </c>
      <c r="F118" s="24">
        <v>70.5</v>
      </c>
      <c r="G118" s="15">
        <v>0</v>
      </c>
      <c r="H118" s="15">
        <v>0</v>
      </c>
      <c r="I118" s="8" t="s">
        <v>242</v>
      </c>
      <c r="J118" s="20">
        <v>7.75</v>
      </c>
      <c r="K118" s="27" t="str">
        <f t="shared" si="7"/>
        <v>Died</v>
      </c>
      <c r="L118" s="27" t="str">
        <f t="shared" si="8"/>
        <v>Senior</v>
      </c>
      <c r="M118" s="28">
        <f t="shared" si="9"/>
        <v>1</v>
      </c>
      <c r="N118" s="27" t="str">
        <f t="shared" si="10"/>
        <v>Alone</v>
      </c>
      <c r="O118" s="27" t="str">
        <f t="shared" si="11"/>
        <v>Low Fare</v>
      </c>
      <c r="P118" s="27" t="str">
        <f t="shared" si="12"/>
        <v>Third Class</v>
      </c>
      <c r="Q118" s="27">
        <f t="shared" si="13"/>
        <v>1</v>
      </c>
    </row>
    <row r="119" spans="1:17" x14ac:dyDescent="0.3">
      <c r="A119" s="16">
        <v>118</v>
      </c>
      <c r="B119" s="16">
        <v>0</v>
      </c>
      <c r="C119" s="16">
        <v>2</v>
      </c>
      <c r="D119" s="11" t="s">
        <v>243</v>
      </c>
      <c r="E119" s="11" t="s">
        <v>11</v>
      </c>
      <c r="F119" s="25">
        <v>29</v>
      </c>
      <c r="G119" s="16">
        <v>1</v>
      </c>
      <c r="H119" s="16">
        <v>0</v>
      </c>
      <c r="I119" s="11" t="s">
        <v>94</v>
      </c>
      <c r="J119" s="21">
        <v>21</v>
      </c>
      <c r="K119" s="27" t="str">
        <f t="shared" si="7"/>
        <v>Died</v>
      </c>
      <c r="L119" s="27" t="str">
        <f t="shared" si="8"/>
        <v>Young Adult</v>
      </c>
      <c r="M119" s="28">
        <f t="shared" si="9"/>
        <v>2</v>
      </c>
      <c r="N119" s="27" t="str">
        <f t="shared" si="10"/>
        <v>Small Family</v>
      </c>
      <c r="O119" s="27" t="str">
        <f t="shared" si="11"/>
        <v>Low Fare</v>
      </c>
      <c r="P119" s="27" t="str">
        <f t="shared" si="12"/>
        <v>Second Class</v>
      </c>
      <c r="Q119" s="27">
        <f t="shared" si="13"/>
        <v>1</v>
      </c>
    </row>
    <row r="120" spans="1:17" x14ac:dyDescent="0.3">
      <c r="A120" s="15">
        <v>119</v>
      </c>
      <c r="B120" s="15">
        <v>0</v>
      </c>
      <c r="C120" s="15">
        <v>1</v>
      </c>
      <c r="D120" s="8" t="s">
        <v>244</v>
      </c>
      <c r="E120" s="8" t="s">
        <v>11</v>
      </c>
      <c r="F120" s="24">
        <v>24</v>
      </c>
      <c r="G120" s="15">
        <v>0</v>
      </c>
      <c r="H120" s="15">
        <v>1</v>
      </c>
      <c r="I120" s="8" t="s">
        <v>245</v>
      </c>
      <c r="J120" s="20">
        <v>247.52080000000001</v>
      </c>
      <c r="K120" s="27" t="str">
        <f t="shared" si="7"/>
        <v>Died</v>
      </c>
      <c r="L120" s="27" t="str">
        <f t="shared" si="8"/>
        <v>Young Adult</v>
      </c>
      <c r="M120" s="28">
        <f t="shared" si="9"/>
        <v>2</v>
      </c>
      <c r="N120" s="27" t="str">
        <f t="shared" si="10"/>
        <v>Small Family</v>
      </c>
      <c r="O120" s="27" t="str">
        <f t="shared" si="11"/>
        <v>High Fare</v>
      </c>
      <c r="P120" s="27" t="str">
        <f t="shared" si="12"/>
        <v>First Class</v>
      </c>
      <c r="Q120" s="27">
        <f t="shared" si="13"/>
        <v>1</v>
      </c>
    </row>
    <row r="121" spans="1:17" x14ac:dyDescent="0.3">
      <c r="A121" s="16">
        <v>120</v>
      </c>
      <c r="B121" s="16">
        <v>0</v>
      </c>
      <c r="C121" s="16">
        <v>3</v>
      </c>
      <c r="D121" s="11" t="s">
        <v>246</v>
      </c>
      <c r="E121" s="11" t="s">
        <v>14</v>
      </c>
      <c r="F121" s="25">
        <v>2</v>
      </c>
      <c r="G121" s="16">
        <v>4</v>
      </c>
      <c r="H121" s="16">
        <v>2</v>
      </c>
      <c r="I121" s="11" t="s">
        <v>39</v>
      </c>
      <c r="J121" s="21">
        <v>31.274999999999999</v>
      </c>
      <c r="K121" s="27" t="str">
        <f t="shared" si="7"/>
        <v>Died</v>
      </c>
      <c r="L121" s="27" t="str">
        <f t="shared" si="8"/>
        <v>Child</v>
      </c>
      <c r="M121" s="28">
        <f t="shared" si="9"/>
        <v>7</v>
      </c>
      <c r="N121" s="27" t="str">
        <f t="shared" si="10"/>
        <v>Large Family</v>
      </c>
      <c r="O121" s="27" t="str">
        <f t="shared" si="11"/>
        <v>Medium Fare</v>
      </c>
      <c r="P121" s="27" t="str">
        <f t="shared" si="12"/>
        <v>Third Class</v>
      </c>
      <c r="Q121" s="27">
        <f t="shared" si="13"/>
        <v>2</v>
      </c>
    </row>
    <row r="122" spans="1:17" x14ac:dyDescent="0.3">
      <c r="A122" s="15">
        <v>121</v>
      </c>
      <c r="B122" s="15">
        <v>0</v>
      </c>
      <c r="C122" s="15">
        <v>2</v>
      </c>
      <c r="D122" s="8" t="s">
        <v>247</v>
      </c>
      <c r="E122" s="8" t="s">
        <v>11</v>
      </c>
      <c r="F122" s="24">
        <v>21</v>
      </c>
      <c r="G122" s="15">
        <v>2</v>
      </c>
      <c r="H122" s="15">
        <v>0</v>
      </c>
      <c r="I122" s="8" t="s">
        <v>155</v>
      </c>
      <c r="J122" s="20">
        <v>73.5</v>
      </c>
      <c r="K122" s="27" t="str">
        <f t="shared" si="7"/>
        <v>Died</v>
      </c>
      <c r="L122" s="27" t="str">
        <f t="shared" si="8"/>
        <v>Young Adult</v>
      </c>
      <c r="M122" s="28">
        <f t="shared" si="9"/>
        <v>3</v>
      </c>
      <c r="N122" s="27" t="str">
        <f t="shared" si="10"/>
        <v>Small Family</v>
      </c>
      <c r="O122" s="27" t="str">
        <f t="shared" si="11"/>
        <v>Medium Fare</v>
      </c>
      <c r="P122" s="27" t="str">
        <f t="shared" si="12"/>
        <v>Second Class</v>
      </c>
      <c r="Q122" s="27">
        <f t="shared" si="13"/>
        <v>1</v>
      </c>
    </row>
    <row r="123" spans="1:17" x14ac:dyDescent="0.3">
      <c r="A123" s="16">
        <v>122</v>
      </c>
      <c r="B123" s="16">
        <v>0</v>
      </c>
      <c r="C123" s="16">
        <v>3</v>
      </c>
      <c r="D123" s="11" t="s">
        <v>248</v>
      </c>
      <c r="E123" s="11" t="s">
        <v>11</v>
      </c>
      <c r="F123" s="25">
        <v>26</v>
      </c>
      <c r="G123" s="16">
        <v>0</v>
      </c>
      <c r="H123" s="16">
        <v>0</v>
      </c>
      <c r="I123" s="11" t="s">
        <v>249</v>
      </c>
      <c r="J123" s="21">
        <v>8.0500000000000007</v>
      </c>
      <c r="K123" s="27" t="str">
        <f t="shared" si="7"/>
        <v>Died</v>
      </c>
      <c r="L123" s="27" t="str">
        <f t="shared" si="8"/>
        <v>Young Adult</v>
      </c>
      <c r="M123" s="28">
        <f t="shared" si="9"/>
        <v>1</v>
      </c>
      <c r="N123" s="27" t="str">
        <f t="shared" si="10"/>
        <v>Alone</v>
      </c>
      <c r="O123" s="27" t="str">
        <f t="shared" si="11"/>
        <v>Low Fare</v>
      </c>
      <c r="P123" s="27" t="str">
        <f t="shared" si="12"/>
        <v>Third Class</v>
      </c>
      <c r="Q123" s="27">
        <f t="shared" si="13"/>
        <v>1</v>
      </c>
    </row>
    <row r="124" spans="1:17" x14ac:dyDescent="0.3">
      <c r="A124" s="15">
        <v>123</v>
      </c>
      <c r="B124" s="15">
        <v>0</v>
      </c>
      <c r="C124" s="15">
        <v>2</v>
      </c>
      <c r="D124" s="8" t="s">
        <v>250</v>
      </c>
      <c r="E124" s="8" t="s">
        <v>11</v>
      </c>
      <c r="F124" s="24">
        <v>32.5</v>
      </c>
      <c r="G124" s="15">
        <v>1</v>
      </c>
      <c r="H124" s="15">
        <v>0</v>
      </c>
      <c r="I124" s="8" t="s">
        <v>31</v>
      </c>
      <c r="J124" s="20">
        <v>30.070799999999998</v>
      </c>
      <c r="K124" s="27" t="str">
        <f t="shared" si="7"/>
        <v>Died</v>
      </c>
      <c r="L124" s="27" t="str">
        <f t="shared" si="8"/>
        <v>Young Adult</v>
      </c>
      <c r="M124" s="28">
        <f t="shared" si="9"/>
        <v>2</v>
      </c>
      <c r="N124" s="27" t="str">
        <f t="shared" si="10"/>
        <v>Small Family</v>
      </c>
      <c r="O124" s="27" t="str">
        <f t="shared" si="11"/>
        <v>Medium Fare</v>
      </c>
      <c r="P124" s="27" t="str">
        <f t="shared" si="12"/>
        <v>Second Class</v>
      </c>
      <c r="Q124" s="27">
        <f t="shared" si="13"/>
        <v>1</v>
      </c>
    </row>
    <row r="125" spans="1:17" x14ac:dyDescent="0.3">
      <c r="A125" s="16">
        <v>124</v>
      </c>
      <c r="B125" s="16">
        <v>1</v>
      </c>
      <c r="C125" s="16">
        <v>2</v>
      </c>
      <c r="D125" s="11" t="s">
        <v>251</v>
      </c>
      <c r="E125" s="11" t="s">
        <v>14</v>
      </c>
      <c r="F125" s="25">
        <v>32.5</v>
      </c>
      <c r="G125" s="16">
        <v>0</v>
      </c>
      <c r="H125" s="16">
        <v>0</v>
      </c>
      <c r="I125" s="11" t="s">
        <v>252</v>
      </c>
      <c r="J125" s="21">
        <v>13</v>
      </c>
      <c r="K125" s="27" t="str">
        <f t="shared" si="7"/>
        <v>Survived</v>
      </c>
      <c r="L125" s="27" t="str">
        <f t="shared" si="8"/>
        <v>Young Adult</v>
      </c>
      <c r="M125" s="28">
        <f t="shared" si="9"/>
        <v>1</v>
      </c>
      <c r="N125" s="27" t="str">
        <f t="shared" si="10"/>
        <v>Alone</v>
      </c>
      <c r="O125" s="27" t="str">
        <f t="shared" si="11"/>
        <v>Low Fare</v>
      </c>
      <c r="P125" s="27" t="str">
        <f t="shared" si="12"/>
        <v>Second Class</v>
      </c>
      <c r="Q125" s="27">
        <f t="shared" si="13"/>
        <v>2</v>
      </c>
    </row>
    <row r="126" spans="1:17" x14ac:dyDescent="0.3">
      <c r="A126" s="15">
        <v>125</v>
      </c>
      <c r="B126" s="15">
        <v>0</v>
      </c>
      <c r="C126" s="15">
        <v>1</v>
      </c>
      <c r="D126" s="8" t="s">
        <v>253</v>
      </c>
      <c r="E126" s="8" t="s">
        <v>11</v>
      </c>
      <c r="F126" s="24">
        <v>54</v>
      </c>
      <c r="G126" s="15">
        <v>0</v>
      </c>
      <c r="H126" s="15">
        <v>1</v>
      </c>
      <c r="I126" s="8" t="s">
        <v>214</v>
      </c>
      <c r="J126" s="20">
        <v>77.287499999999994</v>
      </c>
      <c r="K126" s="27" t="str">
        <f t="shared" si="7"/>
        <v>Died</v>
      </c>
      <c r="L126" s="27" t="str">
        <f t="shared" si="8"/>
        <v>Adult</v>
      </c>
      <c r="M126" s="28">
        <f t="shared" si="9"/>
        <v>2</v>
      </c>
      <c r="N126" s="27" t="str">
        <f t="shared" si="10"/>
        <v>Small Family</v>
      </c>
      <c r="O126" s="27" t="str">
        <f t="shared" si="11"/>
        <v>Medium Fare</v>
      </c>
      <c r="P126" s="27" t="str">
        <f t="shared" si="12"/>
        <v>First Class</v>
      </c>
      <c r="Q126" s="27">
        <f t="shared" si="13"/>
        <v>1</v>
      </c>
    </row>
    <row r="127" spans="1:17" x14ac:dyDescent="0.3">
      <c r="A127" s="16">
        <v>126</v>
      </c>
      <c r="B127" s="16">
        <v>1</v>
      </c>
      <c r="C127" s="16">
        <v>3</v>
      </c>
      <c r="D127" s="11" t="s">
        <v>254</v>
      </c>
      <c r="E127" s="11" t="s">
        <v>11</v>
      </c>
      <c r="F127" s="25">
        <v>12</v>
      </c>
      <c r="G127" s="16">
        <v>1</v>
      </c>
      <c r="H127" s="16">
        <v>0</v>
      </c>
      <c r="I127" s="11" t="s">
        <v>90</v>
      </c>
      <c r="J127" s="21">
        <v>11.2417</v>
      </c>
      <c r="K127" s="27" t="str">
        <f t="shared" si="7"/>
        <v>Survived</v>
      </c>
      <c r="L127" s="27" t="str">
        <f t="shared" si="8"/>
        <v>Child</v>
      </c>
      <c r="M127" s="28">
        <f t="shared" si="9"/>
        <v>2</v>
      </c>
      <c r="N127" s="27" t="str">
        <f t="shared" si="10"/>
        <v>Small Family</v>
      </c>
      <c r="O127" s="27" t="str">
        <f t="shared" si="11"/>
        <v>Low Fare</v>
      </c>
      <c r="P127" s="27" t="str">
        <f t="shared" si="12"/>
        <v>Third Class</v>
      </c>
      <c r="Q127" s="27">
        <f t="shared" si="13"/>
        <v>1</v>
      </c>
    </row>
    <row r="128" spans="1:17" x14ac:dyDescent="0.3">
      <c r="A128" s="15">
        <v>127</v>
      </c>
      <c r="B128" s="15">
        <v>0</v>
      </c>
      <c r="C128" s="15">
        <v>3</v>
      </c>
      <c r="D128" s="8" t="s">
        <v>255</v>
      </c>
      <c r="E128" s="8" t="s">
        <v>11</v>
      </c>
      <c r="F128" s="24">
        <v>26</v>
      </c>
      <c r="G128" s="15">
        <v>0</v>
      </c>
      <c r="H128" s="15">
        <v>0</v>
      </c>
      <c r="I128" s="8" t="s">
        <v>256</v>
      </c>
      <c r="J128" s="20">
        <v>7.75</v>
      </c>
      <c r="K128" s="27" t="str">
        <f t="shared" si="7"/>
        <v>Died</v>
      </c>
      <c r="L128" s="27" t="str">
        <f t="shared" si="8"/>
        <v>Young Adult</v>
      </c>
      <c r="M128" s="28">
        <f t="shared" si="9"/>
        <v>1</v>
      </c>
      <c r="N128" s="27" t="str">
        <f t="shared" si="10"/>
        <v>Alone</v>
      </c>
      <c r="O128" s="27" t="str">
        <f t="shared" si="11"/>
        <v>Low Fare</v>
      </c>
      <c r="P128" s="27" t="str">
        <f t="shared" si="12"/>
        <v>Third Class</v>
      </c>
      <c r="Q128" s="27">
        <f t="shared" si="13"/>
        <v>1</v>
      </c>
    </row>
    <row r="129" spans="1:17" x14ac:dyDescent="0.3">
      <c r="A129" s="16">
        <v>128</v>
      </c>
      <c r="B129" s="16">
        <v>1</v>
      </c>
      <c r="C129" s="16">
        <v>3</v>
      </c>
      <c r="D129" s="11" t="s">
        <v>257</v>
      </c>
      <c r="E129" s="11" t="s">
        <v>11</v>
      </c>
      <c r="F129" s="25">
        <v>24</v>
      </c>
      <c r="G129" s="16">
        <v>0</v>
      </c>
      <c r="H129" s="16">
        <v>0</v>
      </c>
      <c r="I129" s="11" t="s">
        <v>258</v>
      </c>
      <c r="J129" s="21">
        <v>7.1417000000000002</v>
      </c>
      <c r="K129" s="27" t="str">
        <f t="shared" si="7"/>
        <v>Survived</v>
      </c>
      <c r="L129" s="27" t="str">
        <f t="shared" si="8"/>
        <v>Young Adult</v>
      </c>
      <c r="M129" s="28">
        <f t="shared" si="9"/>
        <v>1</v>
      </c>
      <c r="N129" s="27" t="str">
        <f t="shared" si="10"/>
        <v>Alone</v>
      </c>
      <c r="O129" s="27" t="str">
        <f t="shared" si="11"/>
        <v>Low Fare</v>
      </c>
      <c r="P129" s="27" t="str">
        <f t="shared" si="12"/>
        <v>Third Class</v>
      </c>
      <c r="Q129" s="27">
        <f t="shared" si="13"/>
        <v>1</v>
      </c>
    </row>
    <row r="130" spans="1:17" x14ac:dyDescent="0.3">
      <c r="A130" s="15">
        <v>129</v>
      </c>
      <c r="B130" s="15">
        <v>1</v>
      </c>
      <c r="C130" s="15">
        <v>3</v>
      </c>
      <c r="D130" s="8" t="s">
        <v>259</v>
      </c>
      <c r="E130" s="8" t="s">
        <v>14</v>
      </c>
      <c r="F130" s="24">
        <v>26</v>
      </c>
      <c r="G130" s="15">
        <v>1</v>
      </c>
      <c r="H130" s="15">
        <v>1</v>
      </c>
      <c r="I130" s="8" t="s">
        <v>260</v>
      </c>
      <c r="J130" s="20">
        <v>22.3583</v>
      </c>
      <c r="K130" s="27" t="str">
        <f t="shared" ref="K130:K193" si="14">IF(B130=1, "Survived", "Died")</f>
        <v>Survived</v>
      </c>
      <c r="L130" s="27" t="str">
        <f t="shared" ref="L130:L193" si="15">IF(F130&lt;18, "Child", IF(F130&lt;35, "Young Adult", IF(F130&lt;60, "Adult", "Senior")))</f>
        <v>Young Adult</v>
      </c>
      <c r="M130" s="28">
        <f t="shared" ref="M130:M193" si="16">G130+H130+1</f>
        <v>3</v>
      </c>
      <c r="N130" s="27" t="str">
        <f t="shared" ref="N130:N193" si="17">IF(M130=1,"Alone",IF(M130&lt;=4,"Small Family","Large Family"))</f>
        <v>Small Family</v>
      </c>
      <c r="O130" s="27" t="str">
        <f t="shared" ref="O130:O193" si="18">IF(J130&lt;25, "Low Fare", IF(J130&lt;=100, "Medium Fare", "High Fare"))</f>
        <v>Low Fare</v>
      </c>
      <c r="P130" s="27" t="str">
        <f t="shared" ref="P130:P193" si="19">IF(C130=1, "First Class", IF(C130=2, "Second Class", "Third Class"))</f>
        <v>Third Class</v>
      </c>
      <c r="Q130" s="27">
        <f t="shared" ref="Q130:Q193" si="20">IF(E130="male", 1, 2)</f>
        <v>2</v>
      </c>
    </row>
    <row r="131" spans="1:17" x14ac:dyDescent="0.3">
      <c r="A131" s="16">
        <v>130</v>
      </c>
      <c r="B131" s="16">
        <v>0</v>
      </c>
      <c r="C131" s="16">
        <v>3</v>
      </c>
      <c r="D131" s="11" t="s">
        <v>261</v>
      </c>
      <c r="E131" s="11" t="s">
        <v>11</v>
      </c>
      <c r="F131" s="25">
        <v>45</v>
      </c>
      <c r="G131" s="16">
        <v>0</v>
      </c>
      <c r="H131" s="16">
        <v>0</v>
      </c>
      <c r="I131" s="11" t="s">
        <v>262</v>
      </c>
      <c r="J131" s="21">
        <v>6.9749999999999996</v>
      </c>
      <c r="K131" s="27" t="str">
        <f t="shared" si="14"/>
        <v>Died</v>
      </c>
      <c r="L131" s="27" t="str">
        <f t="shared" si="15"/>
        <v>Adult</v>
      </c>
      <c r="M131" s="28">
        <f t="shared" si="16"/>
        <v>1</v>
      </c>
      <c r="N131" s="27" t="str">
        <f t="shared" si="17"/>
        <v>Alone</v>
      </c>
      <c r="O131" s="27" t="str">
        <f t="shared" si="18"/>
        <v>Low Fare</v>
      </c>
      <c r="P131" s="27" t="str">
        <f t="shared" si="19"/>
        <v>Third Class</v>
      </c>
      <c r="Q131" s="27">
        <f t="shared" si="20"/>
        <v>1</v>
      </c>
    </row>
    <row r="132" spans="1:17" x14ac:dyDescent="0.3">
      <c r="A132" s="15">
        <v>131</v>
      </c>
      <c r="B132" s="15">
        <v>0</v>
      </c>
      <c r="C132" s="15">
        <v>3</v>
      </c>
      <c r="D132" s="8" t="s">
        <v>263</v>
      </c>
      <c r="E132" s="8" t="s">
        <v>11</v>
      </c>
      <c r="F132" s="24">
        <v>33</v>
      </c>
      <c r="G132" s="15">
        <v>0</v>
      </c>
      <c r="H132" s="15">
        <v>0</v>
      </c>
      <c r="I132" s="8" t="s">
        <v>264</v>
      </c>
      <c r="J132" s="20">
        <v>7.8958000000000004</v>
      </c>
      <c r="K132" s="27" t="str">
        <f t="shared" si="14"/>
        <v>Died</v>
      </c>
      <c r="L132" s="27" t="str">
        <f t="shared" si="15"/>
        <v>Young Adult</v>
      </c>
      <c r="M132" s="28">
        <f t="shared" si="16"/>
        <v>1</v>
      </c>
      <c r="N132" s="27" t="str">
        <f t="shared" si="17"/>
        <v>Alone</v>
      </c>
      <c r="O132" s="27" t="str">
        <f t="shared" si="18"/>
        <v>Low Fare</v>
      </c>
      <c r="P132" s="27" t="str">
        <f t="shared" si="19"/>
        <v>Third Class</v>
      </c>
      <c r="Q132" s="27">
        <f t="shared" si="20"/>
        <v>1</v>
      </c>
    </row>
    <row r="133" spans="1:17" x14ac:dyDescent="0.3">
      <c r="A133" s="16">
        <v>132</v>
      </c>
      <c r="B133" s="16">
        <v>0</v>
      </c>
      <c r="C133" s="16">
        <v>3</v>
      </c>
      <c r="D133" s="11" t="s">
        <v>265</v>
      </c>
      <c r="E133" s="11" t="s">
        <v>11</v>
      </c>
      <c r="F133" s="25">
        <v>20</v>
      </c>
      <c r="G133" s="16">
        <v>0</v>
      </c>
      <c r="H133" s="16">
        <v>0</v>
      </c>
      <c r="I133" s="11" t="s">
        <v>266</v>
      </c>
      <c r="J133" s="21">
        <v>7.05</v>
      </c>
      <c r="K133" s="27" t="str">
        <f t="shared" si="14"/>
        <v>Died</v>
      </c>
      <c r="L133" s="27" t="str">
        <f t="shared" si="15"/>
        <v>Young Adult</v>
      </c>
      <c r="M133" s="28">
        <f t="shared" si="16"/>
        <v>1</v>
      </c>
      <c r="N133" s="27" t="str">
        <f t="shared" si="17"/>
        <v>Alone</v>
      </c>
      <c r="O133" s="27" t="str">
        <f t="shared" si="18"/>
        <v>Low Fare</v>
      </c>
      <c r="P133" s="27" t="str">
        <f t="shared" si="19"/>
        <v>Third Class</v>
      </c>
      <c r="Q133" s="27">
        <f t="shared" si="20"/>
        <v>1</v>
      </c>
    </row>
    <row r="134" spans="1:17" x14ac:dyDescent="0.3">
      <c r="A134" s="15">
        <v>133</v>
      </c>
      <c r="B134" s="15">
        <v>0</v>
      </c>
      <c r="C134" s="15">
        <v>3</v>
      </c>
      <c r="D134" s="8" t="s">
        <v>267</v>
      </c>
      <c r="E134" s="8" t="s">
        <v>14</v>
      </c>
      <c r="F134" s="24">
        <v>47</v>
      </c>
      <c r="G134" s="15">
        <v>1</v>
      </c>
      <c r="H134" s="15">
        <v>0</v>
      </c>
      <c r="I134" s="8" t="s">
        <v>268</v>
      </c>
      <c r="J134" s="20">
        <v>14.5</v>
      </c>
      <c r="K134" s="27" t="str">
        <f t="shared" si="14"/>
        <v>Died</v>
      </c>
      <c r="L134" s="27" t="str">
        <f t="shared" si="15"/>
        <v>Adult</v>
      </c>
      <c r="M134" s="28">
        <f t="shared" si="16"/>
        <v>2</v>
      </c>
      <c r="N134" s="27" t="str">
        <f t="shared" si="17"/>
        <v>Small Family</v>
      </c>
      <c r="O134" s="27" t="str">
        <f t="shared" si="18"/>
        <v>Low Fare</v>
      </c>
      <c r="P134" s="27" t="str">
        <f t="shared" si="19"/>
        <v>Third Class</v>
      </c>
      <c r="Q134" s="27">
        <f t="shared" si="20"/>
        <v>2</v>
      </c>
    </row>
    <row r="135" spans="1:17" x14ac:dyDescent="0.3">
      <c r="A135" s="16">
        <v>134</v>
      </c>
      <c r="B135" s="16">
        <v>1</v>
      </c>
      <c r="C135" s="16">
        <v>2</v>
      </c>
      <c r="D135" s="11" t="s">
        <v>269</v>
      </c>
      <c r="E135" s="11" t="s">
        <v>14</v>
      </c>
      <c r="F135" s="25">
        <v>29</v>
      </c>
      <c r="G135" s="16">
        <v>1</v>
      </c>
      <c r="H135" s="16">
        <v>0</v>
      </c>
      <c r="I135" s="11" t="s">
        <v>270</v>
      </c>
      <c r="J135" s="21">
        <v>26</v>
      </c>
      <c r="K135" s="27" t="str">
        <f t="shared" si="14"/>
        <v>Survived</v>
      </c>
      <c r="L135" s="27" t="str">
        <f t="shared" si="15"/>
        <v>Young Adult</v>
      </c>
      <c r="M135" s="28">
        <f t="shared" si="16"/>
        <v>2</v>
      </c>
      <c r="N135" s="27" t="str">
        <f t="shared" si="17"/>
        <v>Small Family</v>
      </c>
      <c r="O135" s="27" t="str">
        <f t="shared" si="18"/>
        <v>Medium Fare</v>
      </c>
      <c r="P135" s="27" t="str">
        <f t="shared" si="19"/>
        <v>Second Class</v>
      </c>
      <c r="Q135" s="27">
        <f t="shared" si="20"/>
        <v>2</v>
      </c>
    </row>
    <row r="136" spans="1:17" x14ac:dyDescent="0.3">
      <c r="A136" s="15">
        <v>135</v>
      </c>
      <c r="B136" s="15">
        <v>0</v>
      </c>
      <c r="C136" s="15">
        <v>2</v>
      </c>
      <c r="D136" s="8" t="s">
        <v>271</v>
      </c>
      <c r="E136" s="8" t="s">
        <v>11</v>
      </c>
      <c r="F136" s="24">
        <v>25</v>
      </c>
      <c r="G136" s="15">
        <v>0</v>
      </c>
      <c r="H136" s="15">
        <v>0</v>
      </c>
      <c r="I136" s="8" t="s">
        <v>272</v>
      </c>
      <c r="J136" s="20">
        <v>13</v>
      </c>
      <c r="K136" s="27" t="str">
        <f t="shared" si="14"/>
        <v>Died</v>
      </c>
      <c r="L136" s="27" t="str">
        <f t="shared" si="15"/>
        <v>Young Adult</v>
      </c>
      <c r="M136" s="28">
        <f t="shared" si="16"/>
        <v>1</v>
      </c>
      <c r="N136" s="27" t="str">
        <f t="shared" si="17"/>
        <v>Alone</v>
      </c>
      <c r="O136" s="27" t="str">
        <f t="shared" si="18"/>
        <v>Low Fare</v>
      </c>
      <c r="P136" s="27" t="str">
        <f t="shared" si="19"/>
        <v>Second Class</v>
      </c>
      <c r="Q136" s="27">
        <f t="shared" si="20"/>
        <v>1</v>
      </c>
    </row>
    <row r="137" spans="1:17" x14ac:dyDescent="0.3">
      <c r="A137" s="16">
        <v>136</v>
      </c>
      <c r="B137" s="16">
        <v>0</v>
      </c>
      <c r="C137" s="16">
        <v>2</v>
      </c>
      <c r="D137" s="11" t="s">
        <v>273</v>
      </c>
      <c r="E137" s="11" t="s">
        <v>11</v>
      </c>
      <c r="F137" s="25">
        <v>23</v>
      </c>
      <c r="G137" s="16">
        <v>0</v>
      </c>
      <c r="H137" s="16">
        <v>0</v>
      </c>
      <c r="I137" s="11" t="s">
        <v>274</v>
      </c>
      <c r="J137" s="21">
        <v>15.0458</v>
      </c>
      <c r="K137" s="27" t="str">
        <f t="shared" si="14"/>
        <v>Died</v>
      </c>
      <c r="L137" s="27" t="str">
        <f t="shared" si="15"/>
        <v>Young Adult</v>
      </c>
      <c r="M137" s="28">
        <f t="shared" si="16"/>
        <v>1</v>
      </c>
      <c r="N137" s="27" t="str">
        <f t="shared" si="17"/>
        <v>Alone</v>
      </c>
      <c r="O137" s="27" t="str">
        <f t="shared" si="18"/>
        <v>Low Fare</v>
      </c>
      <c r="P137" s="27" t="str">
        <f t="shared" si="19"/>
        <v>Second Class</v>
      </c>
      <c r="Q137" s="27">
        <f t="shared" si="20"/>
        <v>1</v>
      </c>
    </row>
    <row r="138" spans="1:17" x14ac:dyDescent="0.3">
      <c r="A138" s="15">
        <v>137</v>
      </c>
      <c r="B138" s="15">
        <v>1</v>
      </c>
      <c r="C138" s="15">
        <v>1</v>
      </c>
      <c r="D138" s="8" t="s">
        <v>275</v>
      </c>
      <c r="E138" s="8" t="s">
        <v>14</v>
      </c>
      <c r="F138" s="24">
        <v>19</v>
      </c>
      <c r="G138" s="15">
        <v>0</v>
      </c>
      <c r="H138" s="15">
        <v>2</v>
      </c>
      <c r="I138" s="8" t="s">
        <v>276</v>
      </c>
      <c r="J138" s="20">
        <v>26.283300000000001</v>
      </c>
      <c r="K138" s="27" t="str">
        <f t="shared" si="14"/>
        <v>Survived</v>
      </c>
      <c r="L138" s="27" t="str">
        <f t="shared" si="15"/>
        <v>Young Adult</v>
      </c>
      <c r="M138" s="28">
        <f t="shared" si="16"/>
        <v>3</v>
      </c>
      <c r="N138" s="27" t="str">
        <f t="shared" si="17"/>
        <v>Small Family</v>
      </c>
      <c r="O138" s="27" t="str">
        <f t="shared" si="18"/>
        <v>Medium Fare</v>
      </c>
      <c r="P138" s="27" t="str">
        <f t="shared" si="19"/>
        <v>First Class</v>
      </c>
      <c r="Q138" s="27">
        <f t="shared" si="20"/>
        <v>2</v>
      </c>
    </row>
    <row r="139" spans="1:17" x14ac:dyDescent="0.3">
      <c r="A139" s="16">
        <v>138</v>
      </c>
      <c r="B139" s="16">
        <v>0</v>
      </c>
      <c r="C139" s="16">
        <v>1</v>
      </c>
      <c r="D139" s="11" t="s">
        <v>277</v>
      </c>
      <c r="E139" s="11" t="s">
        <v>11</v>
      </c>
      <c r="F139" s="25">
        <v>37</v>
      </c>
      <c r="G139" s="16">
        <v>1</v>
      </c>
      <c r="H139" s="16">
        <v>0</v>
      </c>
      <c r="I139" s="11" t="s">
        <v>19</v>
      </c>
      <c r="J139" s="21">
        <v>53.1</v>
      </c>
      <c r="K139" s="27" t="str">
        <f t="shared" si="14"/>
        <v>Died</v>
      </c>
      <c r="L139" s="27" t="str">
        <f t="shared" si="15"/>
        <v>Adult</v>
      </c>
      <c r="M139" s="28">
        <f t="shared" si="16"/>
        <v>2</v>
      </c>
      <c r="N139" s="27" t="str">
        <f t="shared" si="17"/>
        <v>Small Family</v>
      </c>
      <c r="O139" s="27" t="str">
        <f t="shared" si="18"/>
        <v>Medium Fare</v>
      </c>
      <c r="P139" s="27" t="str">
        <f t="shared" si="19"/>
        <v>First Class</v>
      </c>
      <c r="Q139" s="27">
        <f t="shared" si="20"/>
        <v>1</v>
      </c>
    </row>
    <row r="140" spans="1:17" x14ac:dyDescent="0.3">
      <c r="A140" s="15">
        <v>139</v>
      </c>
      <c r="B140" s="15">
        <v>0</v>
      </c>
      <c r="C140" s="15">
        <v>3</v>
      </c>
      <c r="D140" s="8" t="s">
        <v>278</v>
      </c>
      <c r="E140" s="8" t="s">
        <v>11</v>
      </c>
      <c r="F140" s="24">
        <v>16</v>
      </c>
      <c r="G140" s="15">
        <v>0</v>
      </c>
      <c r="H140" s="15">
        <v>0</v>
      </c>
      <c r="I140" s="8" t="s">
        <v>279</v>
      </c>
      <c r="J140" s="20">
        <v>9.2166999999999994</v>
      </c>
      <c r="K140" s="27" t="str">
        <f t="shared" si="14"/>
        <v>Died</v>
      </c>
      <c r="L140" s="27" t="str">
        <f t="shared" si="15"/>
        <v>Child</v>
      </c>
      <c r="M140" s="28">
        <f t="shared" si="16"/>
        <v>1</v>
      </c>
      <c r="N140" s="27" t="str">
        <f t="shared" si="17"/>
        <v>Alone</v>
      </c>
      <c r="O140" s="27" t="str">
        <f t="shared" si="18"/>
        <v>Low Fare</v>
      </c>
      <c r="P140" s="27" t="str">
        <f t="shared" si="19"/>
        <v>Third Class</v>
      </c>
      <c r="Q140" s="27">
        <f t="shared" si="20"/>
        <v>1</v>
      </c>
    </row>
    <row r="141" spans="1:17" x14ac:dyDescent="0.3">
      <c r="A141" s="16">
        <v>140</v>
      </c>
      <c r="B141" s="16">
        <v>0</v>
      </c>
      <c r="C141" s="16">
        <v>1</v>
      </c>
      <c r="D141" s="11" t="s">
        <v>280</v>
      </c>
      <c r="E141" s="11" t="s">
        <v>11</v>
      </c>
      <c r="F141" s="25">
        <v>24</v>
      </c>
      <c r="G141" s="16">
        <v>0</v>
      </c>
      <c r="H141" s="16">
        <v>0</v>
      </c>
      <c r="I141" s="11" t="s">
        <v>281</v>
      </c>
      <c r="J141" s="21">
        <v>79.2</v>
      </c>
      <c r="K141" s="27" t="str">
        <f t="shared" si="14"/>
        <v>Died</v>
      </c>
      <c r="L141" s="27" t="str">
        <f t="shared" si="15"/>
        <v>Young Adult</v>
      </c>
      <c r="M141" s="28">
        <f t="shared" si="16"/>
        <v>1</v>
      </c>
      <c r="N141" s="27" t="str">
        <f t="shared" si="17"/>
        <v>Alone</v>
      </c>
      <c r="O141" s="27" t="str">
        <f t="shared" si="18"/>
        <v>Medium Fare</v>
      </c>
      <c r="P141" s="27" t="str">
        <f t="shared" si="19"/>
        <v>First Class</v>
      </c>
      <c r="Q141" s="27">
        <f t="shared" si="20"/>
        <v>1</v>
      </c>
    </row>
    <row r="142" spans="1:17" x14ac:dyDescent="0.3">
      <c r="A142" s="15">
        <v>141</v>
      </c>
      <c r="B142" s="15">
        <v>0</v>
      </c>
      <c r="C142" s="15">
        <v>3</v>
      </c>
      <c r="D142" s="8" t="s">
        <v>282</v>
      </c>
      <c r="E142" s="8" t="s">
        <v>14</v>
      </c>
      <c r="F142" s="24">
        <v>26</v>
      </c>
      <c r="G142" s="15">
        <v>0</v>
      </c>
      <c r="H142" s="15">
        <v>2</v>
      </c>
      <c r="I142" s="8" t="s">
        <v>283</v>
      </c>
      <c r="J142" s="20">
        <v>15.245799999999999</v>
      </c>
      <c r="K142" s="27" t="str">
        <f t="shared" si="14"/>
        <v>Died</v>
      </c>
      <c r="L142" s="27" t="str">
        <f t="shared" si="15"/>
        <v>Young Adult</v>
      </c>
      <c r="M142" s="28">
        <f t="shared" si="16"/>
        <v>3</v>
      </c>
      <c r="N142" s="27" t="str">
        <f t="shared" si="17"/>
        <v>Small Family</v>
      </c>
      <c r="O142" s="27" t="str">
        <f t="shared" si="18"/>
        <v>Low Fare</v>
      </c>
      <c r="P142" s="27" t="str">
        <f t="shared" si="19"/>
        <v>Third Class</v>
      </c>
      <c r="Q142" s="27">
        <f t="shared" si="20"/>
        <v>2</v>
      </c>
    </row>
    <row r="143" spans="1:17" x14ac:dyDescent="0.3">
      <c r="A143" s="16">
        <v>142</v>
      </c>
      <c r="B143" s="16">
        <v>1</v>
      </c>
      <c r="C143" s="16">
        <v>3</v>
      </c>
      <c r="D143" s="11" t="s">
        <v>284</v>
      </c>
      <c r="E143" s="11" t="s">
        <v>14</v>
      </c>
      <c r="F143" s="25">
        <v>22</v>
      </c>
      <c r="G143" s="16">
        <v>0</v>
      </c>
      <c r="H143" s="16">
        <v>0</v>
      </c>
      <c r="I143" s="11" t="s">
        <v>285</v>
      </c>
      <c r="J143" s="21">
        <v>7.75</v>
      </c>
      <c r="K143" s="27" t="str">
        <f t="shared" si="14"/>
        <v>Survived</v>
      </c>
      <c r="L143" s="27" t="str">
        <f t="shared" si="15"/>
        <v>Young Adult</v>
      </c>
      <c r="M143" s="28">
        <f t="shared" si="16"/>
        <v>1</v>
      </c>
      <c r="N143" s="27" t="str">
        <f t="shared" si="17"/>
        <v>Alone</v>
      </c>
      <c r="O143" s="27" t="str">
        <f t="shared" si="18"/>
        <v>Low Fare</v>
      </c>
      <c r="P143" s="27" t="str">
        <f t="shared" si="19"/>
        <v>Third Class</v>
      </c>
      <c r="Q143" s="27">
        <f t="shared" si="20"/>
        <v>2</v>
      </c>
    </row>
    <row r="144" spans="1:17" x14ac:dyDescent="0.3">
      <c r="A144" s="15">
        <v>143</v>
      </c>
      <c r="B144" s="15">
        <v>1</v>
      </c>
      <c r="C144" s="15">
        <v>3</v>
      </c>
      <c r="D144" s="8" t="s">
        <v>286</v>
      </c>
      <c r="E144" s="8" t="s">
        <v>14</v>
      </c>
      <c r="F144" s="24">
        <v>24</v>
      </c>
      <c r="G144" s="15">
        <v>1</v>
      </c>
      <c r="H144" s="15">
        <v>0</v>
      </c>
      <c r="I144" s="8" t="s">
        <v>287</v>
      </c>
      <c r="J144" s="20">
        <v>15.85</v>
      </c>
      <c r="K144" s="27" t="str">
        <f t="shared" si="14"/>
        <v>Survived</v>
      </c>
      <c r="L144" s="27" t="str">
        <f t="shared" si="15"/>
        <v>Young Adult</v>
      </c>
      <c r="M144" s="28">
        <f t="shared" si="16"/>
        <v>2</v>
      </c>
      <c r="N144" s="27" t="str">
        <f t="shared" si="17"/>
        <v>Small Family</v>
      </c>
      <c r="O144" s="27" t="str">
        <f t="shared" si="18"/>
        <v>Low Fare</v>
      </c>
      <c r="P144" s="27" t="str">
        <f t="shared" si="19"/>
        <v>Third Class</v>
      </c>
      <c r="Q144" s="27">
        <f t="shared" si="20"/>
        <v>2</v>
      </c>
    </row>
    <row r="145" spans="1:17" x14ac:dyDescent="0.3">
      <c r="A145" s="16">
        <v>144</v>
      </c>
      <c r="B145" s="16">
        <v>0</v>
      </c>
      <c r="C145" s="16">
        <v>3</v>
      </c>
      <c r="D145" s="11" t="s">
        <v>288</v>
      </c>
      <c r="E145" s="11" t="s">
        <v>11</v>
      </c>
      <c r="F145" s="25">
        <v>19</v>
      </c>
      <c r="G145" s="16">
        <v>0</v>
      </c>
      <c r="H145" s="16">
        <v>0</v>
      </c>
      <c r="I145" s="11" t="s">
        <v>289</v>
      </c>
      <c r="J145" s="21">
        <v>6.75</v>
      </c>
      <c r="K145" s="27" t="str">
        <f t="shared" si="14"/>
        <v>Died</v>
      </c>
      <c r="L145" s="27" t="str">
        <f t="shared" si="15"/>
        <v>Young Adult</v>
      </c>
      <c r="M145" s="28">
        <f t="shared" si="16"/>
        <v>1</v>
      </c>
      <c r="N145" s="27" t="str">
        <f t="shared" si="17"/>
        <v>Alone</v>
      </c>
      <c r="O145" s="27" t="str">
        <f t="shared" si="18"/>
        <v>Low Fare</v>
      </c>
      <c r="P145" s="27" t="str">
        <f t="shared" si="19"/>
        <v>Third Class</v>
      </c>
      <c r="Q145" s="27">
        <f t="shared" si="20"/>
        <v>1</v>
      </c>
    </row>
    <row r="146" spans="1:17" x14ac:dyDescent="0.3">
      <c r="A146" s="15">
        <v>145</v>
      </c>
      <c r="B146" s="15">
        <v>0</v>
      </c>
      <c r="C146" s="15">
        <v>2</v>
      </c>
      <c r="D146" s="8" t="s">
        <v>290</v>
      </c>
      <c r="E146" s="8" t="s">
        <v>11</v>
      </c>
      <c r="F146" s="24">
        <v>18</v>
      </c>
      <c r="G146" s="15">
        <v>0</v>
      </c>
      <c r="H146" s="15">
        <v>0</v>
      </c>
      <c r="I146" s="8" t="s">
        <v>291</v>
      </c>
      <c r="J146" s="20">
        <v>11.5</v>
      </c>
      <c r="K146" s="27" t="str">
        <f t="shared" si="14"/>
        <v>Died</v>
      </c>
      <c r="L146" s="27" t="str">
        <f t="shared" si="15"/>
        <v>Young Adult</v>
      </c>
      <c r="M146" s="28">
        <f t="shared" si="16"/>
        <v>1</v>
      </c>
      <c r="N146" s="27" t="str">
        <f t="shared" si="17"/>
        <v>Alone</v>
      </c>
      <c r="O146" s="27" t="str">
        <f t="shared" si="18"/>
        <v>Low Fare</v>
      </c>
      <c r="P146" s="27" t="str">
        <f t="shared" si="19"/>
        <v>Second Class</v>
      </c>
      <c r="Q146" s="27">
        <f t="shared" si="20"/>
        <v>1</v>
      </c>
    </row>
    <row r="147" spans="1:17" x14ac:dyDescent="0.3">
      <c r="A147" s="16">
        <v>146</v>
      </c>
      <c r="B147" s="16">
        <v>0</v>
      </c>
      <c r="C147" s="16">
        <v>2</v>
      </c>
      <c r="D147" s="11" t="s">
        <v>292</v>
      </c>
      <c r="E147" s="11" t="s">
        <v>11</v>
      </c>
      <c r="F147" s="25">
        <v>19</v>
      </c>
      <c r="G147" s="16">
        <v>1</v>
      </c>
      <c r="H147" s="16">
        <v>1</v>
      </c>
      <c r="I147" s="11" t="s">
        <v>293</v>
      </c>
      <c r="J147" s="21">
        <v>36.75</v>
      </c>
      <c r="K147" s="27" t="str">
        <f t="shared" si="14"/>
        <v>Died</v>
      </c>
      <c r="L147" s="27" t="str">
        <f t="shared" si="15"/>
        <v>Young Adult</v>
      </c>
      <c r="M147" s="28">
        <f t="shared" si="16"/>
        <v>3</v>
      </c>
      <c r="N147" s="27" t="str">
        <f t="shared" si="17"/>
        <v>Small Family</v>
      </c>
      <c r="O147" s="27" t="str">
        <f t="shared" si="18"/>
        <v>Medium Fare</v>
      </c>
      <c r="P147" s="27" t="str">
        <f t="shared" si="19"/>
        <v>Second Class</v>
      </c>
      <c r="Q147" s="27">
        <f t="shared" si="20"/>
        <v>1</v>
      </c>
    </row>
    <row r="148" spans="1:17" x14ac:dyDescent="0.3">
      <c r="A148" s="15">
        <v>147</v>
      </c>
      <c r="B148" s="15">
        <v>1</v>
      </c>
      <c r="C148" s="15">
        <v>3</v>
      </c>
      <c r="D148" s="8" t="s">
        <v>294</v>
      </c>
      <c r="E148" s="8" t="s">
        <v>11</v>
      </c>
      <c r="F148" s="24">
        <v>27</v>
      </c>
      <c r="G148" s="15">
        <v>0</v>
      </c>
      <c r="H148" s="15">
        <v>0</v>
      </c>
      <c r="I148" s="8" t="s">
        <v>295</v>
      </c>
      <c r="J148" s="20">
        <v>7.7957999999999998</v>
      </c>
      <c r="K148" s="27" t="str">
        <f t="shared" si="14"/>
        <v>Survived</v>
      </c>
      <c r="L148" s="27" t="str">
        <f t="shared" si="15"/>
        <v>Young Adult</v>
      </c>
      <c r="M148" s="28">
        <f t="shared" si="16"/>
        <v>1</v>
      </c>
      <c r="N148" s="27" t="str">
        <f t="shared" si="17"/>
        <v>Alone</v>
      </c>
      <c r="O148" s="27" t="str">
        <f t="shared" si="18"/>
        <v>Low Fare</v>
      </c>
      <c r="P148" s="27" t="str">
        <f t="shared" si="19"/>
        <v>Third Class</v>
      </c>
      <c r="Q148" s="27">
        <f t="shared" si="20"/>
        <v>1</v>
      </c>
    </row>
    <row r="149" spans="1:17" x14ac:dyDescent="0.3">
      <c r="A149" s="16">
        <v>148</v>
      </c>
      <c r="B149" s="16">
        <v>0</v>
      </c>
      <c r="C149" s="16">
        <v>3</v>
      </c>
      <c r="D149" s="11" t="s">
        <v>296</v>
      </c>
      <c r="E149" s="11" t="s">
        <v>14</v>
      </c>
      <c r="F149" s="25">
        <v>9</v>
      </c>
      <c r="G149" s="16">
        <v>2</v>
      </c>
      <c r="H149" s="16">
        <v>2</v>
      </c>
      <c r="I149" s="11" t="s">
        <v>183</v>
      </c>
      <c r="J149" s="21">
        <v>34.375</v>
      </c>
      <c r="K149" s="27" t="str">
        <f t="shared" si="14"/>
        <v>Died</v>
      </c>
      <c r="L149" s="27" t="str">
        <f t="shared" si="15"/>
        <v>Child</v>
      </c>
      <c r="M149" s="28">
        <f t="shared" si="16"/>
        <v>5</v>
      </c>
      <c r="N149" s="27" t="str">
        <f t="shared" si="17"/>
        <v>Large Family</v>
      </c>
      <c r="O149" s="27" t="str">
        <f t="shared" si="18"/>
        <v>Medium Fare</v>
      </c>
      <c r="P149" s="27" t="str">
        <f t="shared" si="19"/>
        <v>Third Class</v>
      </c>
      <c r="Q149" s="27">
        <f t="shared" si="20"/>
        <v>2</v>
      </c>
    </row>
    <row r="150" spans="1:17" x14ac:dyDescent="0.3">
      <c r="A150" s="15">
        <v>149</v>
      </c>
      <c r="B150" s="15">
        <v>0</v>
      </c>
      <c r="C150" s="15">
        <v>2</v>
      </c>
      <c r="D150" s="8" t="s">
        <v>297</v>
      </c>
      <c r="E150" s="8" t="s">
        <v>11</v>
      </c>
      <c r="F150" s="24">
        <v>36.5</v>
      </c>
      <c r="G150" s="15">
        <v>0</v>
      </c>
      <c r="H150" s="15">
        <v>2</v>
      </c>
      <c r="I150" s="8" t="s">
        <v>298</v>
      </c>
      <c r="J150" s="20">
        <v>26</v>
      </c>
      <c r="K150" s="27" t="str">
        <f t="shared" si="14"/>
        <v>Died</v>
      </c>
      <c r="L150" s="27" t="str">
        <f t="shared" si="15"/>
        <v>Adult</v>
      </c>
      <c r="M150" s="28">
        <f t="shared" si="16"/>
        <v>3</v>
      </c>
      <c r="N150" s="27" t="str">
        <f t="shared" si="17"/>
        <v>Small Family</v>
      </c>
      <c r="O150" s="27" t="str">
        <f t="shared" si="18"/>
        <v>Medium Fare</v>
      </c>
      <c r="P150" s="27" t="str">
        <f t="shared" si="19"/>
        <v>Second Class</v>
      </c>
      <c r="Q150" s="27">
        <f t="shared" si="20"/>
        <v>1</v>
      </c>
    </row>
    <row r="151" spans="1:17" x14ac:dyDescent="0.3">
      <c r="A151" s="16">
        <v>150</v>
      </c>
      <c r="B151" s="16">
        <v>0</v>
      </c>
      <c r="C151" s="16">
        <v>2</v>
      </c>
      <c r="D151" s="11" t="s">
        <v>299</v>
      </c>
      <c r="E151" s="11" t="s">
        <v>11</v>
      </c>
      <c r="F151" s="25">
        <v>42</v>
      </c>
      <c r="G151" s="16">
        <v>0</v>
      </c>
      <c r="H151" s="16">
        <v>0</v>
      </c>
      <c r="I151" s="11" t="s">
        <v>300</v>
      </c>
      <c r="J151" s="21">
        <v>13</v>
      </c>
      <c r="K151" s="27" t="str">
        <f t="shared" si="14"/>
        <v>Died</v>
      </c>
      <c r="L151" s="27" t="str">
        <f t="shared" si="15"/>
        <v>Adult</v>
      </c>
      <c r="M151" s="28">
        <f t="shared" si="16"/>
        <v>1</v>
      </c>
      <c r="N151" s="27" t="str">
        <f t="shared" si="17"/>
        <v>Alone</v>
      </c>
      <c r="O151" s="27" t="str">
        <f t="shared" si="18"/>
        <v>Low Fare</v>
      </c>
      <c r="P151" s="27" t="str">
        <f t="shared" si="19"/>
        <v>Second Class</v>
      </c>
      <c r="Q151" s="27">
        <f t="shared" si="20"/>
        <v>1</v>
      </c>
    </row>
    <row r="152" spans="1:17" x14ac:dyDescent="0.3">
      <c r="A152" s="15">
        <v>151</v>
      </c>
      <c r="B152" s="15">
        <v>0</v>
      </c>
      <c r="C152" s="15">
        <v>2</v>
      </c>
      <c r="D152" s="8" t="s">
        <v>301</v>
      </c>
      <c r="E152" s="8" t="s">
        <v>11</v>
      </c>
      <c r="F152" s="24">
        <v>51</v>
      </c>
      <c r="G152" s="15">
        <v>0</v>
      </c>
      <c r="H152" s="15">
        <v>0</v>
      </c>
      <c r="I152" s="8" t="s">
        <v>302</v>
      </c>
      <c r="J152" s="20">
        <v>12.525</v>
      </c>
      <c r="K152" s="27" t="str">
        <f t="shared" si="14"/>
        <v>Died</v>
      </c>
      <c r="L152" s="27" t="str">
        <f t="shared" si="15"/>
        <v>Adult</v>
      </c>
      <c r="M152" s="28">
        <f t="shared" si="16"/>
        <v>1</v>
      </c>
      <c r="N152" s="27" t="str">
        <f t="shared" si="17"/>
        <v>Alone</v>
      </c>
      <c r="O152" s="27" t="str">
        <f t="shared" si="18"/>
        <v>Low Fare</v>
      </c>
      <c r="P152" s="27" t="str">
        <f t="shared" si="19"/>
        <v>Second Class</v>
      </c>
      <c r="Q152" s="27">
        <f t="shared" si="20"/>
        <v>1</v>
      </c>
    </row>
    <row r="153" spans="1:17" x14ac:dyDescent="0.3">
      <c r="A153" s="16">
        <v>152</v>
      </c>
      <c r="B153" s="16">
        <v>1</v>
      </c>
      <c r="C153" s="16">
        <v>1</v>
      </c>
      <c r="D153" s="11" t="s">
        <v>303</v>
      </c>
      <c r="E153" s="11" t="s">
        <v>14</v>
      </c>
      <c r="F153" s="25">
        <v>22</v>
      </c>
      <c r="G153" s="16">
        <v>1</v>
      </c>
      <c r="H153" s="16">
        <v>0</v>
      </c>
      <c r="I153" s="11" t="s">
        <v>304</v>
      </c>
      <c r="J153" s="21">
        <v>66.599999999999994</v>
      </c>
      <c r="K153" s="27" t="str">
        <f t="shared" si="14"/>
        <v>Survived</v>
      </c>
      <c r="L153" s="27" t="str">
        <f t="shared" si="15"/>
        <v>Young Adult</v>
      </c>
      <c r="M153" s="28">
        <f t="shared" si="16"/>
        <v>2</v>
      </c>
      <c r="N153" s="27" t="str">
        <f t="shared" si="17"/>
        <v>Small Family</v>
      </c>
      <c r="O153" s="27" t="str">
        <f t="shared" si="18"/>
        <v>Medium Fare</v>
      </c>
      <c r="P153" s="27" t="str">
        <f t="shared" si="19"/>
        <v>First Class</v>
      </c>
      <c r="Q153" s="27">
        <f t="shared" si="20"/>
        <v>2</v>
      </c>
    </row>
    <row r="154" spans="1:17" x14ac:dyDescent="0.3">
      <c r="A154" s="15">
        <v>153</v>
      </c>
      <c r="B154" s="15">
        <v>0</v>
      </c>
      <c r="C154" s="15">
        <v>3</v>
      </c>
      <c r="D154" s="8" t="s">
        <v>305</v>
      </c>
      <c r="E154" s="8" t="s">
        <v>11</v>
      </c>
      <c r="F154" s="24">
        <v>55.5</v>
      </c>
      <c r="G154" s="15">
        <v>0</v>
      </c>
      <c r="H154" s="15">
        <v>0</v>
      </c>
      <c r="I154" s="8" t="s">
        <v>306</v>
      </c>
      <c r="J154" s="20">
        <v>8.0500000000000007</v>
      </c>
      <c r="K154" s="27" t="str">
        <f t="shared" si="14"/>
        <v>Died</v>
      </c>
      <c r="L154" s="27" t="str">
        <f t="shared" si="15"/>
        <v>Adult</v>
      </c>
      <c r="M154" s="28">
        <f t="shared" si="16"/>
        <v>1</v>
      </c>
      <c r="N154" s="27" t="str">
        <f t="shared" si="17"/>
        <v>Alone</v>
      </c>
      <c r="O154" s="27" t="str">
        <f t="shared" si="18"/>
        <v>Low Fare</v>
      </c>
      <c r="P154" s="27" t="str">
        <f t="shared" si="19"/>
        <v>Third Class</v>
      </c>
      <c r="Q154" s="27">
        <f t="shared" si="20"/>
        <v>1</v>
      </c>
    </row>
    <row r="155" spans="1:17" x14ac:dyDescent="0.3">
      <c r="A155" s="16">
        <v>154</v>
      </c>
      <c r="B155" s="16">
        <v>0</v>
      </c>
      <c r="C155" s="16">
        <v>3</v>
      </c>
      <c r="D155" s="11" t="s">
        <v>307</v>
      </c>
      <c r="E155" s="11" t="s">
        <v>11</v>
      </c>
      <c r="F155" s="25">
        <v>40.5</v>
      </c>
      <c r="G155" s="16">
        <v>0</v>
      </c>
      <c r="H155" s="16">
        <v>2</v>
      </c>
      <c r="I155" s="11" t="s">
        <v>308</v>
      </c>
      <c r="J155" s="21">
        <v>14.5</v>
      </c>
      <c r="K155" s="27" t="str">
        <f t="shared" si="14"/>
        <v>Died</v>
      </c>
      <c r="L155" s="27" t="str">
        <f t="shared" si="15"/>
        <v>Adult</v>
      </c>
      <c r="M155" s="28">
        <f t="shared" si="16"/>
        <v>3</v>
      </c>
      <c r="N155" s="27" t="str">
        <f t="shared" si="17"/>
        <v>Small Family</v>
      </c>
      <c r="O155" s="27" t="str">
        <f t="shared" si="18"/>
        <v>Low Fare</v>
      </c>
      <c r="P155" s="27" t="str">
        <f t="shared" si="19"/>
        <v>Third Class</v>
      </c>
      <c r="Q155" s="27">
        <f t="shared" si="20"/>
        <v>1</v>
      </c>
    </row>
    <row r="156" spans="1:17" x14ac:dyDescent="0.3">
      <c r="A156" s="15">
        <v>155</v>
      </c>
      <c r="B156" s="15">
        <v>0</v>
      </c>
      <c r="C156" s="15">
        <v>3</v>
      </c>
      <c r="D156" s="8" t="s">
        <v>309</v>
      </c>
      <c r="E156" s="8" t="s">
        <v>11</v>
      </c>
      <c r="F156" s="24">
        <v>26</v>
      </c>
      <c r="G156" s="15">
        <v>0</v>
      </c>
      <c r="H156" s="15">
        <v>0</v>
      </c>
      <c r="I156" s="8" t="s">
        <v>310</v>
      </c>
      <c r="J156" s="20">
        <v>7.3125</v>
      </c>
      <c r="K156" s="27" t="str">
        <f t="shared" si="14"/>
        <v>Died</v>
      </c>
      <c r="L156" s="27" t="str">
        <f t="shared" si="15"/>
        <v>Young Adult</v>
      </c>
      <c r="M156" s="28">
        <f t="shared" si="16"/>
        <v>1</v>
      </c>
      <c r="N156" s="27" t="str">
        <f t="shared" si="17"/>
        <v>Alone</v>
      </c>
      <c r="O156" s="27" t="str">
        <f t="shared" si="18"/>
        <v>Low Fare</v>
      </c>
      <c r="P156" s="27" t="str">
        <f t="shared" si="19"/>
        <v>Third Class</v>
      </c>
      <c r="Q156" s="27">
        <f t="shared" si="20"/>
        <v>1</v>
      </c>
    </row>
    <row r="157" spans="1:17" x14ac:dyDescent="0.3">
      <c r="A157" s="16">
        <v>156</v>
      </c>
      <c r="B157" s="16">
        <v>0</v>
      </c>
      <c r="C157" s="16">
        <v>1</v>
      </c>
      <c r="D157" s="11" t="s">
        <v>311</v>
      </c>
      <c r="E157" s="11" t="s">
        <v>11</v>
      </c>
      <c r="F157" s="25">
        <v>51</v>
      </c>
      <c r="G157" s="16">
        <v>0</v>
      </c>
      <c r="H157" s="16">
        <v>1</v>
      </c>
      <c r="I157" s="11" t="s">
        <v>312</v>
      </c>
      <c r="J157" s="21">
        <v>61.379199999999997</v>
      </c>
      <c r="K157" s="27" t="str">
        <f t="shared" si="14"/>
        <v>Died</v>
      </c>
      <c r="L157" s="27" t="str">
        <f t="shared" si="15"/>
        <v>Adult</v>
      </c>
      <c r="M157" s="28">
        <f t="shared" si="16"/>
        <v>2</v>
      </c>
      <c r="N157" s="27" t="str">
        <f t="shared" si="17"/>
        <v>Small Family</v>
      </c>
      <c r="O157" s="27" t="str">
        <f t="shared" si="18"/>
        <v>Medium Fare</v>
      </c>
      <c r="P157" s="27" t="str">
        <f t="shared" si="19"/>
        <v>First Class</v>
      </c>
      <c r="Q157" s="27">
        <f t="shared" si="20"/>
        <v>1</v>
      </c>
    </row>
    <row r="158" spans="1:17" x14ac:dyDescent="0.3">
      <c r="A158" s="15">
        <v>157</v>
      </c>
      <c r="B158" s="15">
        <v>1</v>
      </c>
      <c r="C158" s="15">
        <v>3</v>
      </c>
      <c r="D158" s="8" t="s">
        <v>313</v>
      </c>
      <c r="E158" s="8" t="s">
        <v>14</v>
      </c>
      <c r="F158" s="24">
        <v>16</v>
      </c>
      <c r="G158" s="15">
        <v>0</v>
      </c>
      <c r="H158" s="15">
        <v>0</v>
      </c>
      <c r="I158" s="8" t="s">
        <v>314</v>
      </c>
      <c r="J158" s="20">
        <v>7.7332999999999998</v>
      </c>
      <c r="K158" s="27" t="str">
        <f t="shared" si="14"/>
        <v>Survived</v>
      </c>
      <c r="L158" s="27" t="str">
        <f t="shared" si="15"/>
        <v>Child</v>
      </c>
      <c r="M158" s="28">
        <f t="shared" si="16"/>
        <v>1</v>
      </c>
      <c r="N158" s="27" t="str">
        <f t="shared" si="17"/>
        <v>Alone</v>
      </c>
      <c r="O158" s="27" t="str">
        <f t="shared" si="18"/>
        <v>Low Fare</v>
      </c>
      <c r="P158" s="27" t="str">
        <f t="shared" si="19"/>
        <v>Third Class</v>
      </c>
      <c r="Q158" s="27">
        <f t="shared" si="20"/>
        <v>2</v>
      </c>
    </row>
    <row r="159" spans="1:17" x14ac:dyDescent="0.3">
      <c r="A159" s="16">
        <v>158</v>
      </c>
      <c r="B159" s="16">
        <v>0</v>
      </c>
      <c r="C159" s="16">
        <v>3</v>
      </c>
      <c r="D159" s="11" t="s">
        <v>315</v>
      </c>
      <c r="E159" s="11" t="s">
        <v>11</v>
      </c>
      <c r="F159" s="25">
        <v>30</v>
      </c>
      <c r="G159" s="16">
        <v>0</v>
      </c>
      <c r="H159" s="16">
        <v>0</v>
      </c>
      <c r="I159" s="11" t="s">
        <v>316</v>
      </c>
      <c r="J159" s="21">
        <v>8.0500000000000007</v>
      </c>
      <c r="K159" s="27" t="str">
        <f t="shared" si="14"/>
        <v>Died</v>
      </c>
      <c r="L159" s="27" t="str">
        <f t="shared" si="15"/>
        <v>Young Adult</v>
      </c>
      <c r="M159" s="28">
        <f t="shared" si="16"/>
        <v>1</v>
      </c>
      <c r="N159" s="27" t="str">
        <f t="shared" si="17"/>
        <v>Alone</v>
      </c>
      <c r="O159" s="27" t="str">
        <f t="shared" si="18"/>
        <v>Low Fare</v>
      </c>
      <c r="P159" s="27" t="str">
        <f t="shared" si="19"/>
        <v>Third Class</v>
      </c>
      <c r="Q159" s="27">
        <f t="shared" si="20"/>
        <v>1</v>
      </c>
    </row>
    <row r="160" spans="1:17" x14ac:dyDescent="0.3">
      <c r="A160" s="15">
        <v>159</v>
      </c>
      <c r="B160" s="15">
        <v>0</v>
      </c>
      <c r="C160" s="15">
        <v>3</v>
      </c>
      <c r="D160" s="8" t="s">
        <v>317</v>
      </c>
      <c r="E160" s="8" t="s">
        <v>11</v>
      </c>
      <c r="F160" s="24">
        <v>26</v>
      </c>
      <c r="G160" s="15">
        <v>0</v>
      </c>
      <c r="H160" s="15">
        <v>0</v>
      </c>
      <c r="I160" s="8" t="s">
        <v>318</v>
      </c>
      <c r="J160" s="20">
        <v>8.6624999999999996</v>
      </c>
      <c r="K160" s="27" t="str">
        <f t="shared" si="14"/>
        <v>Died</v>
      </c>
      <c r="L160" s="27" t="str">
        <f t="shared" si="15"/>
        <v>Young Adult</v>
      </c>
      <c r="M160" s="28">
        <f t="shared" si="16"/>
        <v>1</v>
      </c>
      <c r="N160" s="27" t="str">
        <f t="shared" si="17"/>
        <v>Alone</v>
      </c>
      <c r="O160" s="27" t="str">
        <f t="shared" si="18"/>
        <v>Low Fare</v>
      </c>
      <c r="P160" s="27" t="str">
        <f t="shared" si="19"/>
        <v>Third Class</v>
      </c>
      <c r="Q160" s="27">
        <f t="shared" si="20"/>
        <v>1</v>
      </c>
    </row>
    <row r="161" spans="1:17" x14ac:dyDescent="0.3">
      <c r="A161" s="16">
        <v>160</v>
      </c>
      <c r="B161" s="16">
        <v>0</v>
      </c>
      <c r="C161" s="16">
        <v>3</v>
      </c>
      <c r="D161" s="11" t="s">
        <v>319</v>
      </c>
      <c r="E161" s="11" t="s">
        <v>11</v>
      </c>
      <c r="F161" s="25">
        <v>26</v>
      </c>
      <c r="G161" s="16">
        <v>8</v>
      </c>
      <c r="H161" s="16">
        <v>2</v>
      </c>
      <c r="I161" s="11" t="s">
        <v>320</v>
      </c>
      <c r="J161" s="21">
        <v>69.55</v>
      </c>
      <c r="K161" s="27" t="str">
        <f t="shared" si="14"/>
        <v>Died</v>
      </c>
      <c r="L161" s="27" t="str">
        <f t="shared" si="15"/>
        <v>Young Adult</v>
      </c>
      <c r="M161" s="28">
        <f t="shared" si="16"/>
        <v>11</v>
      </c>
      <c r="N161" s="27" t="str">
        <f t="shared" si="17"/>
        <v>Large Family</v>
      </c>
      <c r="O161" s="27" t="str">
        <f t="shared" si="18"/>
        <v>Medium Fare</v>
      </c>
      <c r="P161" s="27" t="str">
        <f t="shared" si="19"/>
        <v>Third Class</v>
      </c>
      <c r="Q161" s="27">
        <f t="shared" si="20"/>
        <v>1</v>
      </c>
    </row>
    <row r="162" spans="1:17" x14ac:dyDescent="0.3">
      <c r="A162" s="15">
        <v>161</v>
      </c>
      <c r="B162" s="15">
        <v>0</v>
      </c>
      <c r="C162" s="15">
        <v>3</v>
      </c>
      <c r="D162" s="8" t="s">
        <v>321</v>
      </c>
      <c r="E162" s="8" t="s">
        <v>11</v>
      </c>
      <c r="F162" s="24">
        <v>44</v>
      </c>
      <c r="G162" s="15">
        <v>0</v>
      </c>
      <c r="H162" s="15">
        <v>1</v>
      </c>
      <c r="I162" s="8" t="s">
        <v>322</v>
      </c>
      <c r="J162" s="20">
        <v>16.100000000000001</v>
      </c>
      <c r="K162" s="27" t="str">
        <f t="shared" si="14"/>
        <v>Died</v>
      </c>
      <c r="L162" s="27" t="str">
        <f t="shared" si="15"/>
        <v>Adult</v>
      </c>
      <c r="M162" s="28">
        <f t="shared" si="16"/>
        <v>2</v>
      </c>
      <c r="N162" s="27" t="str">
        <f t="shared" si="17"/>
        <v>Small Family</v>
      </c>
      <c r="O162" s="27" t="str">
        <f t="shared" si="18"/>
        <v>Low Fare</v>
      </c>
      <c r="P162" s="27" t="str">
        <f t="shared" si="19"/>
        <v>Third Class</v>
      </c>
      <c r="Q162" s="27">
        <f t="shared" si="20"/>
        <v>1</v>
      </c>
    </row>
    <row r="163" spans="1:17" x14ac:dyDescent="0.3">
      <c r="A163" s="16">
        <v>162</v>
      </c>
      <c r="B163" s="16">
        <v>1</v>
      </c>
      <c r="C163" s="16">
        <v>2</v>
      </c>
      <c r="D163" s="11" t="s">
        <v>323</v>
      </c>
      <c r="E163" s="11" t="s">
        <v>14</v>
      </c>
      <c r="F163" s="25">
        <v>40</v>
      </c>
      <c r="G163" s="16">
        <v>0</v>
      </c>
      <c r="H163" s="16">
        <v>0</v>
      </c>
      <c r="I163" s="11" t="s">
        <v>324</v>
      </c>
      <c r="J163" s="21">
        <v>15.75</v>
      </c>
      <c r="K163" s="27" t="str">
        <f t="shared" si="14"/>
        <v>Survived</v>
      </c>
      <c r="L163" s="27" t="str">
        <f t="shared" si="15"/>
        <v>Adult</v>
      </c>
      <c r="M163" s="28">
        <f t="shared" si="16"/>
        <v>1</v>
      </c>
      <c r="N163" s="27" t="str">
        <f t="shared" si="17"/>
        <v>Alone</v>
      </c>
      <c r="O163" s="27" t="str">
        <f t="shared" si="18"/>
        <v>Low Fare</v>
      </c>
      <c r="P163" s="27" t="str">
        <f t="shared" si="19"/>
        <v>Second Class</v>
      </c>
      <c r="Q163" s="27">
        <f t="shared" si="20"/>
        <v>2</v>
      </c>
    </row>
    <row r="164" spans="1:17" x14ac:dyDescent="0.3">
      <c r="A164" s="15">
        <v>163</v>
      </c>
      <c r="B164" s="15">
        <v>0</v>
      </c>
      <c r="C164" s="15">
        <v>3</v>
      </c>
      <c r="D164" s="8" t="s">
        <v>325</v>
      </c>
      <c r="E164" s="8" t="s">
        <v>11</v>
      </c>
      <c r="F164" s="24">
        <v>26</v>
      </c>
      <c r="G164" s="15">
        <v>0</v>
      </c>
      <c r="H164" s="15">
        <v>0</v>
      </c>
      <c r="I164" s="8" t="s">
        <v>326</v>
      </c>
      <c r="J164" s="20">
        <v>7.7750000000000004</v>
      </c>
      <c r="K164" s="27" t="str">
        <f t="shared" si="14"/>
        <v>Died</v>
      </c>
      <c r="L164" s="27" t="str">
        <f t="shared" si="15"/>
        <v>Young Adult</v>
      </c>
      <c r="M164" s="28">
        <f t="shared" si="16"/>
        <v>1</v>
      </c>
      <c r="N164" s="27" t="str">
        <f t="shared" si="17"/>
        <v>Alone</v>
      </c>
      <c r="O164" s="27" t="str">
        <f t="shared" si="18"/>
        <v>Low Fare</v>
      </c>
      <c r="P164" s="27" t="str">
        <f t="shared" si="19"/>
        <v>Third Class</v>
      </c>
      <c r="Q164" s="27">
        <f t="shared" si="20"/>
        <v>1</v>
      </c>
    </row>
    <row r="165" spans="1:17" x14ac:dyDescent="0.3">
      <c r="A165" s="16">
        <v>164</v>
      </c>
      <c r="B165" s="16">
        <v>0</v>
      </c>
      <c r="C165" s="16">
        <v>3</v>
      </c>
      <c r="D165" s="11" t="s">
        <v>327</v>
      </c>
      <c r="E165" s="11" t="s">
        <v>11</v>
      </c>
      <c r="F165" s="25">
        <v>17</v>
      </c>
      <c r="G165" s="16">
        <v>0</v>
      </c>
      <c r="H165" s="16">
        <v>0</v>
      </c>
      <c r="I165" s="11" t="s">
        <v>328</v>
      </c>
      <c r="J165" s="21">
        <v>8.6624999999999996</v>
      </c>
      <c r="K165" s="27" t="str">
        <f t="shared" si="14"/>
        <v>Died</v>
      </c>
      <c r="L165" s="27" t="str">
        <f t="shared" si="15"/>
        <v>Child</v>
      </c>
      <c r="M165" s="28">
        <f t="shared" si="16"/>
        <v>1</v>
      </c>
      <c r="N165" s="27" t="str">
        <f t="shared" si="17"/>
        <v>Alone</v>
      </c>
      <c r="O165" s="27" t="str">
        <f t="shared" si="18"/>
        <v>Low Fare</v>
      </c>
      <c r="P165" s="27" t="str">
        <f t="shared" si="19"/>
        <v>Third Class</v>
      </c>
      <c r="Q165" s="27">
        <f t="shared" si="20"/>
        <v>1</v>
      </c>
    </row>
    <row r="166" spans="1:17" x14ac:dyDescent="0.3">
      <c r="A166" s="15">
        <v>165</v>
      </c>
      <c r="B166" s="15">
        <v>0</v>
      </c>
      <c r="C166" s="15">
        <v>3</v>
      </c>
      <c r="D166" s="8" t="s">
        <v>329</v>
      </c>
      <c r="E166" s="8" t="s">
        <v>11</v>
      </c>
      <c r="F166" s="24">
        <v>1</v>
      </c>
      <c r="G166" s="15">
        <v>4</v>
      </c>
      <c r="H166" s="15">
        <v>1</v>
      </c>
      <c r="I166" s="8" t="s">
        <v>112</v>
      </c>
      <c r="J166" s="20">
        <v>39.6875</v>
      </c>
      <c r="K166" s="27" t="str">
        <f t="shared" si="14"/>
        <v>Died</v>
      </c>
      <c r="L166" s="27" t="str">
        <f t="shared" si="15"/>
        <v>Child</v>
      </c>
      <c r="M166" s="28">
        <f t="shared" si="16"/>
        <v>6</v>
      </c>
      <c r="N166" s="27" t="str">
        <f t="shared" si="17"/>
        <v>Large Family</v>
      </c>
      <c r="O166" s="27" t="str">
        <f t="shared" si="18"/>
        <v>Medium Fare</v>
      </c>
      <c r="P166" s="27" t="str">
        <f t="shared" si="19"/>
        <v>Third Class</v>
      </c>
      <c r="Q166" s="27">
        <f t="shared" si="20"/>
        <v>1</v>
      </c>
    </row>
    <row r="167" spans="1:17" x14ac:dyDescent="0.3">
      <c r="A167" s="16">
        <v>166</v>
      </c>
      <c r="B167" s="16">
        <v>1</v>
      </c>
      <c r="C167" s="16">
        <v>3</v>
      </c>
      <c r="D167" s="11" t="s">
        <v>330</v>
      </c>
      <c r="E167" s="11" t="s">
        <v>11</v>
      </c>
      <c r="F167" s="25">
        <v>9</v>
      </c>
      <c r="G167" s="16">
        <v>0</v>
      </c>
      <c r="H167" s="16">
        <v>2</v>
      </c>
      <c r="I167" s="11" t="s">
        <v>331</v>
      </c>
      <c r="J167" s="21">
        <v>20.524999999999999</v>
      </c>
      <c r="K167" s="27" t="str">
        <f t="shared" si="14"/>
        <v>Survived</v>
      </c>
      <c r="L167" s="27" t="str">
        <f t="shared" si="15"/>
        <v>Child</v>
      </c>
      <c r="M167" s="28">
        <f t="shared" si="16"/>
        <v>3</v>
      </c>
      <c r="N167" s="27" t="str">
        <f t="shared" si="17"/>
        <v>Small Family</v>
      </c>
      <c r="O167" s="27" t="str">
        <f t="shared" si="18"/>
        <v>Low Fare</v>
      </c>
      <c r="P167" s="27" t="str">
        <f t="shared" si="19"/>
        <v>Third Class</v>
      </c>
      <c r="Q167" s="27">
        <f t="shared" si="20"/>
        <v>1</v>
      </c>
    </row>
    <row r="168" spans="1:17" x14ac:dyDescent="0.3">
      <c r="A168" s="15">
        <v>167</v>
      </c>
      <c r="B168" s="15">
        <v>1</v>
      </c>
      <c r="C168" s="15">
        <v>1</v>
      </c>
      <c r="D168" s="8" t="s">
        <v>332</v>
      </c>
      <c r="E168" s="8" t="s">
        <v>14</v>
      </c>
      <c r="F168" s="24">
        <v>26</v>
      </c>
      <c r="G168" s="15">
        <v>0</v>
      </c>
      <c r="H168" s="15">
        <v>1</v>
      </c>
      <c r="I168" s="8" t="s">
        <v>333</v>
      </c>
      <c r="J168" s="20">
        <v>55</v>
      </c>
      <c r="K168" s="27" t="str">
        <f t="shared" si="14"/>
        <v>Survived</v>
      </c>
      <c r="L168" s="27" t="str">
        <f t="shared" si="15"/>
        <v>Young Adult</v>
      </c>
      <c r="M168" s="28">
        <f t="shared" si="16"/>
        <v>2</v>
      </c>
      <c r="N168" s="27" t="str">
        <f t="shared" si="17"/>
        <v>Small Family</v>
      </c>
      <c r="O168" s="27" t="str">
        <f t="shared" si="18"/>
        <v>Medium Fare</v>
      </c>
      <c r="P168" s="27" t="str">
        <f t="shared" si="19"/>
        <v>First Class</v>
      </c>
      <c r="Q168" s="27">
        <f t="shared" si="20"/>
        <v>2</v>
      </c>
    </row>
    <row r="169" spans="1:17" x14ac:dyDescent="0.3">
      <c r="A169" s="16">
        <v>168</v>
      </c>
      <c r="B169" s="16">
        <v>0</v>
      </c>
      <c r="C169" s="16">
        <v>3</v>
      </c>
      <c r="D169" s="11" t="s">
        <v>334</v>
      </c>
      <c r="E169" s="11" t="s">
        <v>14</v>
      </c>
      <c r="F169" s="25">
        <v>45</v>
      </c>
      <c r="G169" s="16">
        <v>1</v>
      </c>
      <c r="H169" s="16">
        <v>4</v>
      </c>
      <c r="I169" s="11" t="s">
        <v>138</v>
      </c>
      <c r="J169" s="21">
        <v>27.9</v>
      </c>
      <c r="K169" s="27" t="str">
        <f t="shared" si="14"/>
        <v>Died</v>
      </c>
      <c r="L169" s="27" t="str">
        <f t="shared" si="15"/>
        <v>Adult</v>
      </c>
      <c r="M169" s="28">
        <f t="shared" si="16"/>
        <v>6</v>
      </c>
      <c r="N169" s="27" t="str">
        <f t="shared" si="17"/>
        <v>Large Family</v>
      </c>
      <c r="O169" s="27" t="str">
        <f t="shared" si="18"/>
        <v>Medium Fare</v>
      </c>
      <c r="P169" s="27" t="str">
        <f t="shared" si="19"/>
        <v>Third Class</v>
      </c>
      <c r="Q169" s="27">
        <f t="shared" si="20"/>
        <v>2</v>
      </c>
    </row>
    <row r="170" spans="1:17" x14ac:dyDescent="0.3">
      <c r="A170" s="15">
        <v>169</v>
      </c>
      <c r="B170" s="15">
        <v>0</v>
      </c>
      <c r="C170" s="15">
        <v>1</v>
      </c>
      <c r="D170" s="8" t="s">
        <v>335</v>
      </c>
      <c r="E170" s="8" t="s">
        <v>11</v>
      </c>
      <c r="F170" s="24">
        <v>26</v>
      </c>
      <c r="G170" s="15">
        <v>0</v>
      </c>
      <c r="H170" s="15">
        <v>0</v>
      </c>
      <c r="I170" s="8" t="s">
        <v>336</v>
      </c>
      <c r="J170" s="20">
        <v>25.925000000000001</v>
      </c>
      <c r="K170" s="27" t="str">
        <f t="shared" si="14"/>
        <v>Died</v>
      </c>
      <c r="L170" s="27" t="str">
        <f t="shared" si="15"/>
        <v>Young Adult</v>
      </c>
      <c r="M170" s="28">
        <f t="shared" si="16"/>
        <v>1</v>
      </c>
      <c r="N170" s="27" t="str">
        <f t="shared" si="17"/>
        <v>Alone</v>
      </c>
      <c r="O170" s="27" t="str">
        <f t="shared" si="18"/>
        <v>Medium Fare</v>
      </c>
      <c r="P170" s="27" t="str">
        <f t="shared" si="19"/>
        <v>First Class</v>
      </c>
      <c r="Q170" s="27">
        <f t="shared" si="20"/>
        <v>1</v>
      </c>
    </row>
    <row r="171" spans="1:17" x14ac:dyDescent="0.3">
      <c r="A171" s="16">
        <v>170</v>
      </c>
      <c r="B171" s="16">
        <v>0</v>
      </c>
      <c r="C171" s="16">
        <v>3</v>
      </c>
      <c r="D171" s="11" t="s">
        <v>337</v>
      </c>
      <c r="E171" s="11" t="s">
        <v>11</v>
      </c>
      <c r="F171" s="25">
        <v>28</v>
      </c>
      <c r="G171" s="16">
        <v>0</v>
      </c>
      <c r="H171" s="16">
        <v>0</v>
      </c>
      <c r="I171" s="11" t="s">
        <v>159</v>
      </c>
      <c r="J171" s="21">
        <v>56.495800000000003</v>
      </c>
      <c r="K171" s="27" t="str">
        <f t="shared" si="14"/>
        <v>Died</v>
      </c>
      <c r="L171" s="27" t="str">
        <f t="shared" si="15"/>
        <v>Young Adult</v>
      </c>
      <c r="M171" s="28">
        <f t="shared" si="16"/>
        <v>1</v>
      </c>
      <c r="N171" s="27" t="str">
        <f t="shared" si="17"/>
        <v>Alone</v>
      </c>
      <c r="O171" s="27" t="str">
        <f t="shared" si="18"/>
        <v>Medium Fare</v>
      </c>
      <c r="P171" s="27" t="str">
        <f t="shared" si="19"/>
        <v>Third Class</v>
      </c>
      <c r="Q171" s="27">
        <f t="shared" si="20"/>
        <v>1</v>
      </c>
    </row>
    <row r="172" spans="1:17" x14ac:dyDescent="0.3">
      <c r="A172" s="15">
        <v>171</v>
      </c>
      <c r="B172" s="15">
        <v>0</v>
      </c>
      <c r="C172" s="15">
        <v>1</v>
      </c>
      <c r="D172" s="8" t="s">
        <v>338</v>
      </c>
      <c r="E172" s="8" t="s">
        <v>11</v>
      </c>
      <c r="F172" s="24">
        <v>61</v>
      </c>
      <c r="G172" s="15">
        <v>0</v>
      </c>
      <c r="H172" s="15">
        <v>0</v>
      </c>
      <c r="I172" s="8" t="s">
        <v>339</v>
      </c>
      <c r="J172" s="20">
        <v>33.5</v>
      </c>
      <c r="K172" s="27" t="str">
        <f t="shared" si="14"/>
        <v>Died</v>
      </c>
      <c r="L172" s="27" t="str">
        <f t="shared" si="15"/>
        <v>Senior</v>
      </c>
      <c r="M172" s="28">
        <f t="shared" si="16"/>
        <v>1</v>
      </c>
      <c r="N172" s="27" t="str">
        <f t="shared" si="17"/>
        <v>Alone</v>
      </c>
      <c r="O172" s="27" t="str">
        <f t="shared" si="18"/>
        <v>Medium Fare</v>
      </c>
      <c r="P172" s="27" t="str">
        <f t="shared" si="19"/>
        <v>First Class</v>
      </c>
      <c r="Q172" s="27">
        <f t="shared" si="20"/>
        <v>1</v>
      </c>
    </row>
    <row r="173" spans="1:17" x14ac:dyDescent="0.3">
      <c r="A173" s="16">
        <v>172</v>
      </c>
      <c r="B173" s="16">
        <v>0</v>
      </c>
      <c r="C173" s="16">
        <v>3</v>
      </c>
      <c r="D173" s="11" t="s">
        <v>340</v>
      </c>
      <c r="E173" s="11" t="s">
        <v>11</v>
      </c>
      <c r="F173" s="25">
        <v>4</v>
      </c>
      <c r="G173" s="16">
        <v>4</v>
      </c>
      <c r="H173" s="16">
        <v>1</v>
      </c>
      <c r="I173" s="11" t="s">
        <v>45</v>
      </c>
      <c r="J173" s="21">
        <v>29.125</v>
      </c>
      <c r="K173" s="27" t="str">
        <f t="shared" si="14"/>
        <v>Died</v>
      </c>
      <c r="L173" s="27" t="str">
        <f t="shared" si="15"/>
        <v>Child</v>
      </c>
      <c r="M173" s="28">
        <f t="shared" si="16"/>
        <v>6</v>
      </c>
      <c r="N173" s="27" t="str">
        <f t="shared" si="17"/>
        <v>Large Family</v>
      </c>
      <c r="O173" s="27" t="str">
        <f t="shared" si="18"/>
        <v>Medium Fare</v>
      </c>
      <c r="P173" s="27" t="str">
        <f t="shared" si="19"/>
        <v>Third Class</v>
      </c>
      <c r="Q173" s="27">
        <f t="shared" si="20"/>
        <v>1</v>
      </c>
    </row>
    <row r="174" spans="1:17" x14ac:dyDescent="0.3">
      <c r="A174" s="15">
        <v>173</v>
      </c>
      <c r="B174" s="15">
        <v>1</v>
      </c>
      <c r="C174" s="15">
        <v>3</v>
      </c>
      <c r="D174" s="8" t="s">
        <v>341</v>
      </c>
      <c r="E174" s="8" t="s">
        <v>14</v>
      </c>
      <c r="F174" s="24">
        <v>1</v>
      </c>
      <c r="G174" s="15">
        <v>1</v>
      </c>
      <c r="H174" s="15">
        <v>1</v>
      </c>
      <c r="I174" s="8" t="s">
        <v>29</v>
      </c>
      <c r="J174" s="20">
        <v>11.1333</v>
      </c>
      <c r="K174" s="27" t="str">
        <f t="shared" si="14"/>
        <v>Survived</v>
      </c>
      <c r="L174" s="27" t="str">
        <f t="shared" si="15"/>
        <v>Child</v>
      </c>
      <c r="M174" s="28">
        <f t="shared" si="16"/>
        <v>3</v>
      </c>
      <c r="N174" s="27" t="str">
        <f t="shared" si="17"/>
        <v>Small Family</v>
      </c>
      <c r="O174" s="27" t="str">
        <f t="shared" si="18"/>
        <v>Low Fare</v>
      </c>
      <c r="P174" s="27" t="str">
        <f t="shared" si="19"/>
        <v>Third Class</v>
      </c>
      <c r="Q174" s="27">
        <f t="shared" si="20"/>
        <v>2</v>
      </c>
    </row>
    <row r="175" spans="1:17" x14ac:dyDescent="0.3">
      <c r="A175" s="16">
        <v>174</v>
      </c>
      <c r="B175" s="16">
        <v>0</v>
      </c>
      <c r="C175" s="16">
        <v>3</v>
      </c>
      <c r="D175" s="11" t="s">
        <v>342</v>
      </c>
      <c r="E175" s="11" t="s">
        <v>11</v>
      </c>
      <c r="F175" s="25">
        <v>21</v>
      </c>
      <c r="G175" s="16">
        <v>0</v>
      </c>
      <c r="H175" s="16">
        <v>0</v>
      </c>
      <c r="I175" s="11" t="s">
        <v>343</v>
      </c>
      <c r="J175" s="21">
        <v>7.9249999999999998</v>
      </c>
      <c r="K175" s="27" t="str">
        <f t="shared" si="14"/>
        <v>Died</v>
      </c>
      <c r="L175" s="27" t="str">
        <f t="shared" si="15"/>
        <v>Young Adult</v>
      </c>
      <c r="M175" s="28">
        <f t="shared" si="16"/>
        <v>1</v>
      </c>
      <c r="N175" s="27" t="str">
        <f t="shared" si="17"/>
        <v>Alone</v>
      </c>
      <c r="O175" s="27" t="str">
        <f t="shared" si="18"/>
        <v>Low Fare</v>
      </c>
      <c r="P175" s="27" t="str">
        <f t="shared" si="19"/>
        <v>Third Class</v>
      </c>
      <c r="Q175" s="27">
        <f t="shared" si="20"/>
        <v>1</v>
      </c>
    </row>
    <row r="176" spans="1:17" x14ac:dyDescent="0.3">
      <c r="A176" s="15">
        <v>175</v>
      </c>
      <c r="B176" s="15">
        <v>0</v>
      </c>
      <c r="C176" s="15">
        <v>1</v>
      </c>
      <c r="D176" s="8" t="s">
        <v>344</v>
      </c>
      <c r="E176" s="8" t="s">
        <v>11</v>
      </c>
      <c r="F176" s="24">
        <v>56</v>
      </c>
      <c r="G176" s="15">
        <v>0</v>
      </c>
      <c r="H176" s="15">
        <v>0</v>
      </c>
      <c r="I176" s="8" t="s">
        <v>345</v>
      </c>
      <c r="J176" s="20">
        <v>30.695799999999998</v>
      </c>
      <c r="K176" s="27" t="str">
        <f t="shared" si="14"/>
        <v>Died</v>
      </c>
      <c r="L176" s="27" t="str">
        <f t="shared" si="15"/>
        <v>Adult</v>
      </c>
      <c r="M176" s="28">
        <f t="shared" si="16"/>
        <v>1</v>
      </c>
      <c r="N176" s="27" t="str">
        <f t="shared" si="17"/>
        <v>Alone</v>
      </c>
      <c r="O176" s="27" t="str">
        <f t="shared" si="18"/>
        <v>Medium Fare</v>
      </c>
      <c r="P176" s="27" t="str">
        <f t="shared" si="19"/>
        <v>First Class</v>
      </c>
      <c r="Q176" s="27">
        <f t="shared" si="20"/>
        <v>1</v>
      </c>
    </row>
    <row r="177" spans="1:17" x14ac:dyDescent="0.3">
      <c r="A177" s="16">
        <v>176</v>
      </c>
      <c r="B177" s="16">
        <v>0</v>
      </c>
      <c r="C177" s="16">
        <v>3</v>
      </c>
      <c r="D177" s="11" t="s">
        <v>346</v>
      </c>
      <c r="E177" s="11" t="s">
        <v>11</v>
      </c>
      <c r="F177" s="25">
        <v>18</v>
      </c>
      <c r="G177" s="16">
        <v>1</v>
      </c>
      <c r="H177" s="16">
        <v>1</v>
      </c>
      <c r="I177" s="11" t="s">
        <v>347</v>
      </c>
      <c r="J177" s="21">
        <v>7.8541999999999996</v>
      </c>
      <c r="K177" s="27" t="str">
        <f t="shared" si="14"/>
        <v>Died</v>
      </c>
      <c r="L177" s="27" t="str">
        <f t="shared" si="15"/>
        <v>Young Adult</v>
      </c>
      <c r="M177" s="28">
        <f t="shared" si="16"/>
        <v>3</v>
      </c>
      <c r="N177" s="27" t="str">
        <f t="shared" si="17"/>
        <v>Small Family</v>
      </c>
      <c r="O177" s="27" t="str">
        <f t="shared" si="18"/>
        <v>Low Fare</v>
      </c>
      <c r="P177" s="27" t="str">
        <f t="shared" si="19"/>
        <v>Third Class</v>
      </c>
      <c r="Q177" s="27">
        <f t="shared" si="20"/>
        <v>1</v>
      </c>
    </row>
    <row r="178" spans="1:17" x14ac:dyDescent="0.3">
      <c r="A178" s="15">
        <v>177</v>
      </c>
      <c r="B178" s="15">
        <v>0</v>
      </c>
      <c r="C178" s="15">
        <v>3</v>
      </c>
      <c r="D178" s="8" t="s">
        <v>348</v>
      </c>
      <c r="E178" s="8" t="s">
        <v>11</v>
      </c>
      <c r="F178" s="24">
        <v>26</v>
      </c>
      <c r="G178" s="15">
        <v>3</v>
      </c>
      <c r="H178" s="15">
        <v>1</v>
      </c>
      <c r="I178" s="8" t="s">
        <v>349</v>
      </c>
      <c r="J178" s="20">
        <v>25.466699999999999</v>
      </c>
      <c r="K178" s="27" t="str">
        <f t="shared" si="14"/>
        <v>Died</v>
      </c>
      <c r="L178" s="27" t="str">
        <f t="shared" si="15"/>
        <v>Young Adult</v>
      </c>
      <c r="M178" s="28">
        <f t="shared" si="16"/>
        <v>5</v>
      </c>
      <c r="N178" s="27" t="str">
        <f t="shared" si="17"/>
        <v>Large Family</v>
      </c>
      <c r="O178" s="27" t="str">
        <f t="shared" si="18"/>
        <v>Medium Fare</v>
      </c>
      <c r="P178" s="27" t="str">
        <f t="shared" si="19"/>
        <v>Third Class</v>
      </c>
      <c r="Q178" s="27">
        <f t="shared" si="20"/>
        <v>1</v>
      </c>
    </row>
    <row r="179" spans="1:17" x14ac:dyDescent="0.3">
      <c r="A179" s="16">
        <v>178</v>
      </c>
      <c r="B179" s="16">
        <v>0</v>
      </c>
      <c r="C179" s="16">
        <v>1</v>
      </c>
      <c r="D179" s="11" t="s">
        <v>350</v>
      </c>
      <c r="E179" s="11" t="s">
        <v>14</v>
      </c>
      <c r="F179" s="25">
        <v>50</v>
      </c>
      <c r="G179" s="16">
        <v>0</v>
      </c>
      <c r="H179" s="16">
        <v>0</v>
      </c>
      <c r="I179" s="11" t="s">
        <v>351</v>
      </c>
      <c r="J179" s="21">
        <v>28.712499999999999</v>
      </c>
      <c r="K179" s="27" t="str">
        <f t="shared" si="14"/>
        <v>Died</v>
      </c>
      <c r="L179" s="27" t="str">
        <f t="shared" si="15"/>
        <v>Adult</v>
      </c>
      <c r="M179" s="28">
        <f t="shared" si="16"/>
        <v>1</v>
      </c>
      <c r="N179" s="27" t="str">
        <f t="shared" si="17"/>
        <v>Alone</v>
      </c>
      <c r="O179" s="27" t="str">
        <f t="shared" si="18"/>
        <v>Medium Fare</v>
      </c>
      <c r="P179" s="27" t="str">
        <f t="shared" si="19"/>
        <v>First Class</v>
      </c>
      <c r="Q179" s="27">
        <f t="shared" si="20"/>
        <v>2</v>
      </c>
    </row>
    <row r="180" spans="1:17" x14ac:dyDescent="0.3">
      <c r="A180" s="15">
        <v>179</v>
      </c>
      <c r="B180" s="15">
        <v>0</v>
      </c>
      <c r="C180" s="15">
        <v>2</v>
      </c>
      <c r="D180" s="8" t="s">
        <v>352</v>
      </c>
      <c r="E180" s="8" t="s">
        <v>11</v>
      </c>
      <c r="F180" s="24">
        <v>30</v>
      </c>
      <c r="G180" s="15">
        <v>0</v>
      </c>
      <c r="H180" s="15">
        <v>0</v>
      </c>
      <c r="I180" s="8" t="s">
        <v>353</v>
      </c>
      <c r="J180" s="20">
        <v>13</v>
      </c>
      <c r="K180" s="27" t="str">
        <f t="shared" si="14"/>
        <v>Died</v>
      </c>
      <c r="L180" s="27" t="str">
        <f t="shared" si="15"/>
        <v>Young Adult</v>
      </c>
      <c r="M180" s="28">
        <f t="shared" si="16"/>
        <v>1</v>
      </c>
      <c r="N180" s="27" t="str">
        <f t="shared" si="17"/>
        <v>Alone</v>
      </c>
      <c r="O180" s="27" t="str">
        <f t="shared" si="18"/>
        <v>Low Fare</v>
      </c>
      <c r="P180" s="27" t="str">
        <f t="shared" si="19"/>
        <v>Second Class</v>
      </c>
      <c r="Q180" s="27">
        <f t="shared" si="20"/>
        <v>1</v>
      </c>
    </row>
    <row r="181" spans="1:17" x14ac:dyDescent="0.3">
      <c r="A181" s="16">
        <v>180</v>
      </c>
      <c r="B181" s="16">
        <v>0</v>
      </c>
      <c r="C181" s="16">
        <v>3</v>
      </c>
      <c r="D181" s="11" t="s">
        <v>354</v>
      </c>
      <c r="E181" s="11" t="s">
        <v>11</v>
      </c>
      <c r="F181" s="25">
        <v>36</v>
      </c>
      <c r="G181" s="16">
        <v>0</v>
      </c>
      <c r="H181" s="16">
        <v>0</v>
      </c>
      <c r="I181" s="11" t="s">
        <v>355</v>
      </c>
      <c r="J181" s="21">
        <v>0</v>
      </c>
      <c r="K181" s="27" t="str">
        <f t="shared" si="14"/>
        <v>Died</v>
      </c>
      <c r="L181" s="27" t="str">
        <f t="shared" si="15"/>
        <v>Adult</v>
      </c>
      <c r="M181" s="28">
        <f t="shared" si="16"/>
        <v>1</v>
      </c>
      <c r="N181" s="27" t="str">
        <f t="shared" si="17"/>
        <v>Alone</v>
      </c>
      <c r="O181" s="27" t="str">
        <f t="shared" si="18"/>
        <v>Low Fare</v>
      </c>
      <c r="P181" s="27" t="str">
        <f t="shared" si="19"/>
        <v>Third Class</v>
      </c>
      <c r="Q181" s="27">
        <f t="shared" si="20"/>
        <v>1</v>
      </c>
    </row>
    <row r="182" spans="1:17" x14ac:dyDescent="0.3">
      <c r="A182" s="15">
        <v>181</v>
      </c>
      <c r="B182" s="15">
        <v>0</v>
      </c>
      <c r="C182" s="15">
        <v>3</v>
      </c>
      <c r="D182" s="8" t="s">
        <v>356</v>
      </c>
      <c r="E182" s="8" t="s">
        <v>14</v>
      </c>
      <c r="F182" s="24">
        <v>26</v>
      </c>
      <c r="G182" s="15">
        <v>8</v>
      </c>
      <c r="H182" s="15">
        <v>2</v>
      </c>
      <c r="I182" s="8" t="s">
        <v>320</v>
      </c>
      <c r="J182" s="20">
        <v>69.55</v>
      </c>
      <c r="K182" s="27" t="str">
        <f t="shared" si="14"/>
        <v>Died</v>
      </c>
      <c r="L182" s="27" t="str">
        <f t="shared" si="15"/>
        <v>Young Adult</v>
      </c>
      <c r="M182" s="28">
        <f t="shared" si="16"/>
        <v>11</v>
      </c>
      <c r="N182" s="27" t="str">
        <f t="shared" si="17"/>
        <v>Large Family</v>
      </c>
      <c r="O182" s="27" t="str">
        <f t="shared" si="18"/>
        <v>Medium Fare</v>
      </c>
      <c r="P182" s="27" t="str">
        <f t="shared" si="19"/>
        <v>Third Class</v>
      </c>
      <c r="Q182" s="27">
        <f t="shared" si="20"/>
        <v>2</v>
      </c>
    </row>
    <row r="183" spans="1:17" x14ac:dyDescent="0.3">
      <c r="A183" s="16">
        <v>182</v>
      </c>
      <c r="B183" s="16">
        <v>0</v>
      </c>
      <c r="C183" s="16">
        <v>2</v>
      </c>
      <c r="D183" s="11" t="s">
        <v>357</v>
      </c>
      <c r="E183" s="11" t="s">
        <v>11</v>
      </c>
      <c r="F183" s="25">
        <v>26</v>
      </c>
      <c r="G183" s="16">
        <v>0</v>
      </c>
      <c r="H183" s="16">
        <v>0</v>
      </c>
      <c r="I183" s="11" t="s">
        <v>358</v>
      </c>
      <c r="J183" s="21">
        <v>15.05</v>
      </c>
      <c r="K183" s="27" t="str">
        <f t="shared" si="14"/>
        <v>Died</v>
      </c>
      <c r="L183" s="27" t="str">
        <f t="shared" si="15"/>
        <v>Young Adult</v>
      </c>
      <c r="M183" s="28">
        <f t="shared" si="16"/>
        <v>1</v>
      </c>
      <c r="N183" s="27" t="str">
        <f t="shared" si="17"/>
        <v>Alone</v>
      </c>
      <c r="O183" s="27" t="str">
        <f t="shared" si="18"/>
        <v>Low Fare</v>
      </c>
      <c r="P183" s="27" t="str">
        <f t="shared" si="19"/>
        <v>Second Class</v>
      </c>
      <c r="Q183" s="27">
        <f t="shared" si="20"/>
        <v>1</v>
      </c>
    </row>
    <row r="184" spans="1:17" x14ac:dyDescent="0.3">
      <c r="A184" s="15">
        <v>183</v>
      </c>
      <c r="B184" s="15">
        <v>0</v>
      </c>
      <c r="C184" s="15">
        <v>3</v>
      </c>
      <c r="D184" s="8" t="s">
        <v>359</v>
      </c>
      <c r="E184" s="8" t="s">
        <v>11</v>
      </c>
      <c r="F184" s="24">
        <v>9</v>
      </c>
      <c r="G184" s="15">
        <v>4</v>
      </c>
      <c r="H184" s="15">
        <v>2</v>
      </c>
      <c r="I184" s="8" t="s">
        <v>62</v>
      </c>
      <c r="J184" s="20">
        <v>31.387499999999999</v>
      </c>
      <c r="K184" s="27" t="str">
        <f t="shared" si="14"/>
        <v>Died</v>
      </c>
      <c r="L184" s="27" t="str">
        <f t="shared" si="15"/>
        <v>Child</v>
      </c>
      <c r="M184" s="28">
        <f t="shared" si="16"/>
        <v>7</v>
      </c>
      <c r="N184" s="27" t="str">
        <f t="shared" si="17"/>
        <v>Large Family</v>
      </c>
      <c r="O184" s="27" t="str">
        <f t="shared" si="18"/>
        <v>Medium Fare</v>
      </c>
      <c r="P184" s="27" t="str">
        <f t="shared" si="19"/>
        <v>Third Class</v>
      </c>
      <c r="Q184" s="27">
        <f t="shared" si="20"/>
        <v>1</v>
      </c>
    </row>
    <row r="185" spans="1:17" x14ac:dyDescent="0.3">
      <c r="A185" s="16">
        <v>184</v>
      </c>
      <c r="B185" s="16">
        <v>1</v>
      </c>
      <c r="C185" s="16">
        <v>2</v>
      </c>
      <c r="D185" s="11" t="s">
        <v>360</v>
      </c>
      <c r="E185" s="11" t="s">
        <v>11</v>
      </c>
      <c r="F185" s="25">
        <v>1</v>
      </c>
      <c r="G185" s="16">
        <v>2</v>
      </c>
      <c r="H185" s="16">
        <v>1</v>
      </c>
      <c r="I185" s="11" t="s">
        <v>361</v>
      </c>
      <c r="J185" s="21">
        <v>39</v>
      </c>
      <c r="K185" s="27" t="str">
        <f t="shared" si="14"/>
        <v>Survived</v>
      </c>
      <c r="L185" s="27" t="str">
        <f t="shared" si="15"/>
        <v>Child</v>
      </c>
      <c r="M185" s="28">
        <f t="shared" si="16"/>
        <v>4</v>
      </c>
      <c r="N185" s="27" t="str">
        <f t="shared" si="17"/>
        <v>Small Family</v>
      </c>
      <c r="O185" s="27" t="str">
        <f t="shared" si="18"/>
        <v>Medium Fare</v>
      </c>
      <c r="P185" s="27" t="str">
        <f t="shared" si="19"/>
        <v>Second Class</v>
      </c>
      <c r="Q185" s="27">
        <f t="shared" si="20"/>
        <v>1</v>
      </c>
    </row>
    <row r="186" spans="1:17" x14ac:dyDescent="0.3">
      <c r="A186" s="15">
        <v>185</v>
      </c>
      <c r="B186" s="15">
        <v>1</v>
      </c>
      <c r="C186" s="15">
        <v>3</v>
      </c>
      <c r="D186" s="8" t="s">
        <v>362</v>
      </c>
      <c r="E186" s="8" t="s">
        <v>14</v>
      </c>
      <c r="F186" s="24">
        <v>4</v>
      </c>
      <c r="G186" s="15">
        <v>0</v>
      </c>
      <c r="H186" s="15">
        <v>2</v>
      </c>
      <c r="I186" s="8" t="s">
        <v>363</v>
      </c>
      <c r="J186" s="20">
        <v>22.024999999999999</v>
      </c>
      <c r="K186" s="27" t="str">
        <f t="shared" si="14"/>
        <v>Survived</v>
      </c>
      <c r="L186" s="27" t="str">
        <f t="shared" si="15"/>
        <v>Child</v>
      </c>
      <c r="M186" s="28">
        <f t="shared" si="16"/>
        <v>3</v>
      </c>
      <c r="N186" s="27" t="str">
        <f t="shared" si="17"/>
        <v>Small Family</v>
      </c>
      <c r="O186" s="27" t="str">
        <f t="shared" si="18"/>
        <v>Low Fare</v>
      </c>
      <c r="P186" s="27" t="str">
        <f t="shared" si="19"/>
        <v>Third Class</v>
      </c>
      <c r="Q186" s="27">
        <f t="shared" si="20"/>
        <v>2</v>
      </c>
    </row>
    <row r="187" spans="1:17" x14ac:dyDescent="0.3">
      <c r="A187" s="16">
        <v>186</v>
      </c>
      <c r="B187" s="16">
        <v>0</v>
      </c>
      <c r="C187" s="16">
        <v>1</v>
      </c>
      <c r="D187" s="11" t="s">
        <v>364</v>
      </c>
      <c r="E187" s="11" t="s">
        <v>11</v>
      </c>
      <c r="F187" s="25">
        <v>26</v>
      </c>
      <c r="G187" s="16">
        <v>0</v>
      </c>
      <c r="H187" s="16">
        <v>0</v>
      </c>
      <c r="I187" s="11" t="s">
        <v>365</v>
      </c>
      <c r="J187" s="21">
        <v>50</v>
      </c>
      <c r="K187" s="27" t="str">
        <f t="shared" si="14"/>
        <v>Died</v>
      </c>
      <c r="L187" s="27" t="str">
        <f t="shared" si="15"/>
        <v>Young Adult</v>
      </c>
      <c r="M187" s="28">
        <f t="shared" si="16"/>
        <v>1</v>
      </c>
      <c r="N187" s="27" t="str">
        <f t="shared" si="17"/>
        <v>Alone</v>
      </c>
      <c r="O187" s="27" t="str">
        <f t="shared" si="18"/>
        <v>Medium Fare</v>
      </c>
      <c r="P187" s="27" t="str">
        <f t="shared" si="19"/>
        <v>First Class</v>
      </c>
      <c r="Q187" s="27">
        <f t="shared" si="20"/>
        <v>1</v>
      </c>
    </row>
    <row r="188" spans="1:17" x14ac:dyDescent="0.3">
      <c r="A188" s="15">
        <v>187</v>
      </c>
      <c r="B188" s="15">
        <v>1</v>
      </c>
      <c r="C188" s="15">
        <v>3</v>
      </c>
      <c r="D188" s="8" t="s">
        <v>366</v>
      </c>
      <c r="E188" s="8" t="s">
        <v>14</v>
      </c>
      <c r="F188" s="24">
        <v>26</v>
      </c>
      <c r="G188" s="15">
        <v>1</v>
      </c>
      <c r="H188" s="15">
        <v>0</v>
      </c>
      <c r="I188" s="8" t="s">
        <v>367</v>
      </c>
      <c r="J188" s="20">
        <v>15.5</v>
      </c>
      <c r="K188" s="27" t="str">
        <f t="shared" si="14"/>
        <v>Survived</v>
      </c>
      <c r="L188" s="27" t="str">
        <f t="shared" si="15"/>
        <v>Young Adult</v>
      </c>
      <c r="M188" s="28">
        <f t="shared" si="16"/>
        <v>2</v>
      </c>
      <c r="N188" s="27" t="str">
        <f t="shared" si="17"/>
        <v>Small Family</v>
      </c>
      <c r="O188" s="27" t="str">
        <f t="shared" si="18"/>
        <v>Low Fare</v>
      </c>
      <c r="P188" s="27" t="str">
        <f t="shared" si="19"/>
        <v>Third Class</v>
      </c>
      <c r="Q188" s="27">
        <f t="shared" si="20"/>
        <v>2</v>
      </c>
    </row>
    <row r="189" spans="1:17" x14ac:dyDescent="0.3">
      <c r="A189" s="16">
        <v>188</v>
      </c>
      <c r="B189" s="16">
        <v>1</v>
      </c>
      <c r="C189" s="16">
        <v>1</v>
      </c>
      <c r="D189" s="11" t="s">
        <v>368</v>
      </c>
      <c r="E189" s="11" t="s">
        <v>11</v>
      </c>
      <c r="F189" s="25">
        <v>45</v>
      </c>
      <c r="G189" s="16">
        <v>0</v>
      </c>
      <c r="H189" s="16">
        <v>0</v>
      </c>
      <c r="I189" s="11" t="s">
        <v>369</v>
      </c>
      <c r="J189" s="21">
        <v>26.55</v>
      </c>
      <c r="K189" s="27" t="str">
        <f t="shared" si="14"/>
        <v>Survived</v>
      </c>
      <c r="L189" s="27" t="str">
        <f t="shared" si="15"/>
        <v>Adult</v>
      </c>
      <c r="M189" s="28">
        <f t="shared" si="16"/>
        <v>1</v>
      </c>
      <c r="N189" s="27" t="str">
        <f t="shared" si="17"/>
        <v>Alone</v>
      </c>
      <c r="O189" s="27" t="str">
        <f t="shared" si="18"/>
        <v>Medium Fare</v>
      </c>
      <c r="P189" s="27" t="str">
        <f t="shared" si="19"/>
        <v>First Class</v>
      </c>
      <c r="Q189" s="27">
        <f t="shared" si="20"/>
        <v>1</v>
      </c>
    </row>
    <row r="190" spans="1:17" x14ac:dyDescent="0.3">
      <c r="A190" s="15">
        <v>189</v>
      </c>
      <c r="B190" s="15">
        <v>0</v>
      </c>
      <c r="C190" s="15">
        <v>3</v>
      </c>
      <c r="D190" s="8" t="s">
        <v>370</v>
      </c>
      <c r="E190" s="8" t="s">
        <v>11</v>
      </c>
      <c r="F190" s="24">
        <v>40</v>
      </c>
      <c r="G190" s="15">
        <v>1</v>
      </c>
      <c r="H190" s="15">
        <v>1</v>
      </c>
      <c r="I190" s="8" t="s">
        <v>371</v>
      </c>
      <c r="J190" s="20">
        <v>15.5</v>
      </c>
      <c r="K190" s="27" t="str">
        <f t="shared" si="14"/>
        <v>Died</v>
      </c>
      <c r="L190" s="27" t="str">
        <f t="shared" si="15"/>
        <v>Adult</v>
      </c>
      <c r="M190" s="28">
        <f t="shared" si="16"/>
        <v>3</v>
      </c>
      <c r="N190" s="27" t="str">
        <f t="shared" si="17"/>
        <v>Small Family</v>
      </c>
      <c r="O190" s="27" t="str">
        <f t="shared" si="18"/>
        <v>Low Fare</v>
      </c>
      <c r="P190" s="27" t="str">
        <f t="shared" si="19"/>
        <v>Third Class</v>
      </c>
      <c r="Q190" s="27">
        <f t="shared" si="20"/>
        <v>1</v>
      </c>
    </row>
    <row r="191" spans="1:17" x14ac:dyDescent="0.3">
      <c r="A191" s="16">
        <v>190</v>
      </c>
      <c r="B191" s="16">
        <v>0</v>
      </c>
      <c r="C191" s="16">
        <v>3</v>
      </c>
      <c r="D191" s="11" t="s">
        <v>372</v>
      </c>
      <c r="E191" s="11" t="s">
        <v>11</v>
      </c>
      <c r="F191" s="25">
        <v>36</v>
      </c>
      <c r="G191" s="16">
        <v>0</v>
      </c>
      <c r="H191" s="16">
        <v>0</v>
      </c>
      <c r="I191" s="11" t="s">
        <v>373</v>
      </c>
      <c r="J191" s="21">
        <v>7.8958000000000004</v>
      </c>
      <c r="K191" s="27" t="str">
        <f t="shared" si="14"/>
        <v>Died</v>
      </c>
      <c r="L191" s="27" t="str">
        <f t="shared" si="15"/>
        <v>Adult</v>
      </c>
      <c r="M191" s="28">
        <f t="shared" si="16"/>
        <v>1</v>
      </c>
      <c r="N191" s="27" t="str">
        <f t="shared" si="17"/>
        <v>Alone</v>
      </c>
      <c r="O191" s="27" t="str">
        <f t="shared" si="18"/>
        <v>Low Fare</v>
      </c>
      <c r="P191" s="27" t="str">
        <f t="shared" si="19"/>
        <v>Third Class</v>
      </c>
      <c r="Q191" s="27">
        <f t="shared" si="20"/>
        <v>1</v>
      </c>
    </row>
    <row r="192" spans="1:17" x14ac:dyDescent="0.3">
      <c r="A192" s="15">
        <v>191</v>
      </c>
      <c r="B192" s="15">
        <v>1</v>
      </c>
      <c r="C192" s="15">
        <v>2</v>
      </c>
      <c r="D192" s="8" t="s">
        <v>374</v>
      </c>
      <c r="E192" s="8" t="s">
        <v>14</v>
      </c>
      <c r="F192" s="24">
        <v>32</v>
      </c>
      <c r="G192" s="15">
        <v>0</v>
      </c>
      <c r="H192" s="15">
        <v>0</v>
      </c>
      <c r="I192" s="8" t="s">
        <v>375</v>
      </c>
      <c r="J192" s="20">
        <v>13</v>
      </c>
      <c r="K192" s="27" t="str">
        <f t="shared" si="14"/>
        <v>Survived</v>
      </c>
      <c r="L192" s="27" t="str">
        <f t="shared" si="15"/>
        <v>Young Adult</v>
      </c>
      <c r="M192" s="28">
        <f t="shared" si="16"/>
        <v>1</v>
      </c>
      <c r="N192" s="27" t="str">
        <f t="shared" si="17"/>
        <v>Alone</v>
      </c>
      <c r="O192" s="27" t="str">
        <f t="shared" si="18"/>
        <v>Low Fare</v>
      </c>
      <c r="P192" s="27" t="str">
        <f t="shared" si="19"/>
        <v>Second Class</v>
      </c>
      <c r="Q192" s="27">
        <f t="shared" si="20"/>
        <v>2</v>
      </c>
    </row>
    <row r="193" spans="1:17" x14ac:dyDescent="0.3">
      <c r="A193" s="16">
        <v>192</v>
      </c>
      <c r="B193" s="16">
        <v>0</v>
      </c>
      <c r="C193" s="16">
        <v>2</v>
      </c>
      <c r="D193" s="11" t="s">
        <v>376</v>
      </c>
      <c r="E193" s="11" t="s">
        <v>11</v>
      </c>
      <c r="F193" s="25">
        <v>19</v>
      </c>
      <c r="G193" s="16">
        <v>0</v>
      </c>
      <c r="H193" s="16">
        <v>0</v>
      </c>
      <c r="I193" s="11" t="s">
        <v>377</v>
      </c>
      <c r="J193" s="21">
        <v>13</v>
      </c>
      <c r="K193" s="27" t="str">
        <f t="shared" si="14"/>
        <v>Died</v>
      </c>
      <c r="L193" s="27" t="str">
        <f t="shared" si="15"/>
        <v>Young Adult</v>
      </c>
      <c r="M193" s="28">
        <f t="shared" si="16"/>
        <v>1</v>
      </c>
      <c r="N193" s="27" t="str">
        <f t="shared" si="17"/>
        <v>Alone</v>
      </c>
      <c r="O193" s="27" t="str">
        <f t="shared" si="18"/>
        <v>Low Fare</v>
      </c>
      <c r="P193" s="27" t="str">
        <f t="shared" si="19"/>
        <v>Second Class</v>
      </c>
      <c r="Q193" s="27">
        <f t="shared" si="20"/>
        <v>1</v>
      </c>
    </row>
    <row r="194" spans="1:17" x14ac:dyDescent="0.3">
      <c r="A194" s="15">
        <v>193</v>
      </c>
      <c r="B194" s="15">
        <v>1</v>
      </c>
      <c r="C194" s="15">
        <v>3</v>
      </c>
      <c r="D194" s="8" t="s">
        <v>378</v>
      </c>
      <c r="E194" s="8" t="s">
        <v>14</v>
      </c>
      <c r="F194" s="24">
        <v>19</v>
      </c>
      <c r="G194" s="15">
        <v>1</v>
      </c>
      <c r="H194" s="15">
        <v>0</v>
      </c>
      <c r="I194" s="8" t="s">
        <v>379</v>
      </c>
      <c r="J194" s="20">
        <v>7.8541999999999996</v>
      </c>
      <c r="K194" s="27" t="str">
        <f t="shared" ref="K194:K257" si="21">IF(B194=1, "Survived", "Died")</f>
        <v>Survived</v>
      </c>
      <c r="L194" s="27" t="str">
        <f t="shared" ref="L194:L257" si="22">IF(F194&lt;18, "Child", IF(F194&lt;35, "Young Adult", IF(F194&lt;60, "Adult", "Senior")))</f>
        <v>Young Adult</v>
      </c>
      <c r="M194" s="28">
        <f t="shared" ref="M194:M257" si="23">G194+H194+1</f>
        <v>2</v>
      </c>
      <c r="N194" s="27" t="str">
        <f t="shared" ref="N194:N257" si="24">IF(M194=1,"Alone",IF(M194&lt;=4,"Small Family","Large Family"))</f>
        <v>Small Family</v>
      </c>
      <c r="O194" s="27" t="str">
        <f t="shared" ref="O194:O257" si="25">IF(J194&lt;25, "Low Fare", IF(J194&lt;=100, "Medium Fare", "High Fare"))</f>
        <v>Low Fare</v>
      </c>
      <c r="P194" s="27" t="str">
        <f t="shared" ref="P194:P257" si="26">IF(C194=1, "First Class", IF(C194=2, "Second Class", "Third Class"))</f>
        <v>Third Class</v>
      </c>
      <c r="Q194" s="27">
        <f t="shared" ref="Q194:Q257" si="27">IF(E194="male", 1, 2)</f>
        <v>2</v>
      </c>
    </row>
    <row r="195" spans="1:17" x14ac:dyDescent="0.3">
      <c r="A195" s="16">
        <v>194</v>
      </c>
      <c r="B195" s="16">
        <v>1</v>
      </c>
      <c r="C195" s="16">
        <v>2</v>
      </c>
      <c r="D195" s="11" t="s">
        <v>380</v>
      </c>
      <c r="E195" s="11" t="s">
        <v>11</v>
      </c>
      <c r="F195" s="25">
        <v>3</v>
      </c>
      <c r="G195" s="16">
        <v>1</v>
      </c>
      <c r="H195" s="16">
        <v>1</v>
      </c>
      <c r="I195" s="11" t="s">
        <v>298</v>
      </c>
      <c r="J195" s="21">
        <v>26</v>
      </c>
      <c r="K195" s="27" t="str">
        <f t="shared" si="21"/>
        <v>Survived</v>
      </c>
      <c r="L195" s="27" t="str">
        <f t="shared" si="22"/>
        <v>Child</v>
      </c>
      <c r="M195" s="28">
        <f t="shared" si="23"/>
        <v>3</v>
      </c>
      <c r="N195" s="27" t="str">
        <f t="shared" si="24"/>
        <v>Small Family</v>
      </c>
      <c r="O195" s="27" t="str">
        <f t="shared" si="25"/>
        <v>Medium Fare</v>
      </c>
      <c r="P195" s="27" t="str">
        <f t="shared" si="26"/>
        <v>Second Class</v>
      </c>
      <c r="Q195" s="27">
        <f t="shared" si="27"/>
        <v>1</v>
      </c>
    </row>
    <row r="196" spans="1:17" x14ac:dyDescent="0.3">
      <c r="A196" s="15">
        <v>195</v>
      </c>
      <c r="B196" s="15">
        <v>1</v>
      </c>
      <c r="C196" s="15">
        <v>1</v>
      </c>
      <c r="D196" s="8" t="s">
        <v>381</v>
      </c>
      <c r="E196" s="8" t="s">
        <v>14</v>
      </c>
      <c r="F196" s="24">
        <v>44</v>
      </c>
      <c r="G196" s="15">
        <v>0</v>
      </c>
      <c r="H196" s="15">
        <v>0</v>
      </c>
      <c r="I196" s="8" t="s">
        <v>382</v>
      </c>
      <c r="J196" s="20">
        <v>27.720800000000001</v>
      </c>
      <c r="K196" s="27" t="str">
        <f t="shared" si="21"/>
        <v>Survived</v>
      </c>
      <c r="L196" s="27" t="str">
        <f t="shared" si="22"/>
        <v>Adult</v>
      </c>
      <c r="M196" s="28">
        <f t="shared" si="23"/>
        <v>1</v>
      </c>
      <c r="N196" s="27" t="str">
        <f t="shared" si="24"/>
        <v>Alone</v>
      </c>
      <c r="O196" s="27" t="str">
        <f t="shared" si="25"/>
        <v>Medium Fare</v>
      </c>
      <c r="P196" s="27" t="str">
        <f t="shared" si="26"/>
        <v>First Class</v>
      </c>
      <c r="Q196" s="27">
        <f t="shared" si="27"/>
        <v>2</v>
      </c>
    </row>
    <row r="197" spans="1:17" x14ac:dyDescent="0.3">
      <c r="A197" s="16">
        <v>196</v>
      </c>
      <c r="B197" s="16">
        <v>1</v>
      </c>
      <c r="C197" s="16">
        <v>1</v>
      </c>
      <c r="D197" s="11" t="s">
        <v>383</v>
      </c>
      <c r="E197" s="11" t="s">
        <v>14</v>
      </c>
      <c r="F197" s="25">
        <v>58</v>
      </c>
      <c r="G197" s="16">
        <v>0</v>
      </c>
      <c r="H197" s="16">
        <v>0</v>
      </c>
      <c r="I197" s="11" t="s">
        <v>74</v>
      </c>
      <c r="J197" s="21">
        <v>146.52080000000001</v>
      </c>
      <c r="K197" s="27" t="str">
        <f t="shared" si="21"/>
        <v>Survived</v>
      </c>
      <c r="L197" s="27" t="str">
        <f t="shared" si="22"/>
        <v>Adult</v>
      </c>
      <c r="M197" s="28">
        <f t="shared" si="23"/>
        <v>1</v>
      </c>
      <c r="N197" s="27" t="str">
        <f t="shared" si="24"/>
        <v>Alone</v>
      </c>
      <c r="O197" s="27" t="str">
        <f t="shared" si="25"/>
        <v>High Fare</v>
      </c>
      <c r="P197" s="27" t="str">
        <f t="shared" si="26"/>
        <v>First Class</v>
      </c>
      <c r="Q197" s="27">
        <f t="shared" si="27"/>
        <v>2</v>
      </c>
    </row>
    <row r="198" spans="1:17" x14ac:dyDescent="0.3">
      <c r="A198" s="15">
        <v>197</v>
      </c>
      <c r="B198" s="15">
        <v>0</v>
      </c>
      <c r="C198" s="15">
        <v>3</v>
      </c>
      <c r="D198" s="8" t="s">
        <v>384</v>
      </c>
      <c r="E198" s="8" t="s">
        <v>11</v>
      </c>
      <c r="F198" s="24">
        <v>26</v>
      </c>
      <c r="G198" s="15">
        <v>0</v>
      </c>
      <c r="H198" s="15">
        <v>0</v>
      </c>
      <c r="I198" s="8" t="s">
        <v>385</v>
      </c>
      <c r="J198" s="20">
        <v>7.75</v>
      </c>
      <c r="K198" s="27" t="str">
        <f t="shared" si="21"/>
        <v>Died</v>
      </c>
      <c r="L198" s="27" t="str">
        <f t="shared" si="22"/>
        <v>Young Adult</v>
      </c>
      <c r="M198" s="28">
        <f t="shared" si="23"/>
        <v>1</v>
      </c>
      <c r="N198" s="27" t="str">
        <f t="shared" si="24"/>
        <v>Alone</v>
      </c>
      <c r="O198" s="27" t="str">
        <f t="shared" si="25"/>
        <v>Low Fare</v>
      </c>
      <c r="P198" s="27" t="str">
        <f t="shared" si="26"/>
        <v>Third Class</v>
      </c>
      <c r="Q198" s="27">
        <f t="shared" si="27"/>
        <v>1</v>
      </c>
    </row>
    <row r="199" spans="1:17" x14ac:dyDescent="0.3">
      <c r="A199" s="16">
        <v>198</v>
      </c>
      <c r="B199" s="16">
        <v>0</v>
      </c>
      <c r="C199" s="16">
        <v>3</v>
      </c>
      <c r="D199" s="11" t="s">
        <v>386</v>
      </c>
      <c r="E199" s="11" t="s">
        <v>11</v>
      </c>
      <c r="F199" s="25">
        <v>42</v>
      </c>
      <c r="G199" s="16">
        <v>0</v>
      </c>
      <c r="H199" s="16">
        <v>1</v>
      </c>
      <c r="I199" s="11" t="s">
        <v>387</v>
      </c>
      <c r="J199" s="21">
        <v>8.4041999999999994</v>
      </c>
      <c r="K199" s="27" t="str">
        <f t="shared" si="21"/>
        <v>Died</v>
      </c>
      <c r="L199" s="27" t="str">
        <f t="shared" si="22"/>
        <v>Adult</v>
      </c>
      <c r="M199" s="28">
        <f t="shared" si="23"/>
        <v>2</v>
      </c>
      <c r="N199" s="27" t="str">
        <f t="shared" si="24"/>
        <v>Small Family</v>
      </c>
      <c r="O199" s="27" t="str">
        <f t="shared" si="25"/>
        <v>Low Fare</v>
      </c>
      <c r="P199" s="27" t="str">
        <f t="shared" si="26"/>
        <v>Third Class</v>
      </c>
      <c r="Q199" s="27">
        <f t="shared" si="27"/>
        <v>1</v>
      </c>
    </row>
    <row r="200" spans="1:17" x14ac:dyDescent="0.3">
      <c r="A200" s="15">
        <v>199</v>
      </c>
      <c r="B200" s="15">
        <v>1</v>
      </c>
      <c r="C200" s="15">
        <v>3</v>
      </c>
      <c r="D200" s="8" t="s">
        <v>388</v>
      </c>
      <c r="E200" s="8" t="s">
        <v>14</v>
      </c>
      <c r="F200" s="24">
        <v>26</v>
      </c>
      <c r="G200" s="15">
        <v>0</v>
      </c>
      <c r="H200" s="15">
        <v>0</v>
      </c>
      <c r="I200" s="8" t="s">
        <v>389</v>
      </c>
      <c r="J200" s="20">
        <v>7.75</v>
      </c>
      <c r="K200" s="27" t="str">
        <f t="shared" si="21"/>
        <v>Survived</v>
      </c>
      <c r="L200" s="27" t="str">
        <f t="shared" si="22"/>
        <v>Young Adult</v>
      </c>
      <c r="M200" s="28">
        <f t="shared" si="23"/>
        <v>1</v>
      </c>
      <c r="N200" s="27" t="str">
        <f t="shared" si="24"/>
        <v>Alone</v>
      </c>
      <c r="O200" s="27" t="str">
        <f t="shared" si="25"/>
        <v>Low Fare</v>
      </c>
      <c r="P200" s="27" t="str">
        <f t="shared" si="26"/>
        <v>Third Class</v>
      </c>
      <c r="Q200" s="27">
        <f t="shared" si="27"/>
        <v>2</v>
      </c>
    </row>
    <row r="201" spans="1:17" x14ac:dyDescent="0.3">
      <c r="A201" s="16">
        <v>200</v>
      </c>
      <c r="B201" s="16">
        <v>0</v>
      </c>
      <c r="C201" s="16">
        <v>2</v>
      </c>
      <c r="D201" s="11" t="s">
        <v>390</v>
      </c>
      <c r="E201" s="11" t="s">
        <v>14</v>
      </c>
      <c r="F201" s="25">
        <v>24</v>
      </c>
      <c r="G201" s="16">
        <v>0</v>
      </c>
      <c r="H201" s="16">
        <v>0</v>
      </c>
      <c r="I201" s="11" t="s">
        <v>391</v>
      </c>
      <c r="J201" s="21">
        <v>13</v>
      </c>
      <c r="K201" s="27" t="str">
        <f t="shared" si="21"/>
        <v>Died</v>
      </c>
      <c r="L201" s="27" t="str">
        <f t="shared" si="22"/>
        <v>Young Adult</v>
      </c>
      <c r="M201" s="28">
        <f t="shared" si="23"/>
        <v>1</v>
      </c>
      <c r="N201" s="27" t="str">
        <f t="shared" si="24"/>
        <v>Alone</v>
      </c>
      <c r="O201" s="27" t="str">
        <f t="shared" si="25"/>
        <v>Low Fare</v>
      </c>
      <c r="P201" s="27" t="str">
        <f t="shared" si="26"/>
        <v>Second Class</v>
      </c>
      <c r="Q201" s="27">
        <f t="shared" si="27"/>
        <v>2</v>
      </c>
    </row>
    <row r="202" spans="1:17" x14ac:dyDescent="0.3">
      <c r="A202" s="15">
        <v>201</v>
      </c>
      <c r="B202" s="15">
        <v>0</v>
      </c>
      <c r="C202" s="15">
        <v>3</v>
      </c>
      <c r="D202" s="8" t="s">
        <v>392</v>
      </c>
      <c r="E202" s="8" t="s">
        <v>11</v>
      </c>
      <c r="F202" s="24">
        <v>28</v>
      </c>
      <c r="G202" s="15">
        <v>0</v>
      </c>
      <c r="H202" s="15">
        <v>0</v>
      </c>
      <c r="I202" s="8" t="s">
        <v>393</v>
      </c>
      <c r="J202" s="20">
        <v>9.5</v>
      </c>
      <c r="K202" s="27" t="str">
        <f t="shared" si="21"/>
        <v>Died</v>
      </c>
      <c r="L202" s="27" t="str">
        <f t="shared" si="22"/>
        <v>Young Adult</v>
      </c>
      <c r="M202" s="28">
        <f t="shared" si="23"/>
        <v>1</v>
      </c>
      <c r="N202" s="27" t="str">
        <f t="shared" si="24"/>
        <v>Alone</v>
      </c>
      <c r="O202" s="27" t="str">
        <f t="shared" si="25"/>
        <v>Low Fare</v>
      </c>
      <c r="P202" s="27" t="str">
        <f t="shared" si="26"/>
        <v>Third Class</v>
      </c>
      <c r="Q202" s="27">
        <f t="shared" si="27"/>
        <v>1</v>
      </c>
    </row>
    <row r="203" spans="1:17" x14ac:dyDescent="0.3">
      <c r="A203" s="16">
        <v>202</v>
      </c>
      <c r="B203" s="16">
        <v>0</v>
      </c>
      <c r="C203" s="16">
        <v>3</v>
      </c>
      <c r="D203" s="11" t="s">
        <v>394</v>
      </c>
      <c r="E203" s="11" t="s">
        <v>11</v>
      </c>
      <c r="F203" s="25">
        <v>26</v>
      </c>
      <c r="G203" s="16">
        <v>8</v>
      </c>
      <c r="H203" s="16">
        <v>2</v>
      </c>
      <c r="I203" s="11" t="s">
        <v>320</v>
      </c>
      <c r="J203" s="21">
        <v>69.55</v>
      </c>
      <c r="K203" s="27" t="str">
        <f t="shared" si="21"/>
        <v>Died</v>
      </c>
      <c r="L203" s="27" t="str">
        <f t="shared" si="22"/>
        <v>Young Adult</v>
      </c>
      <c r="M203" s="28">
        <f t="shared" si="23"/>
        <v>11</v>
      </c>
      <c r="N203" s="27" t="str">
        <f t="shared" si="24"/>
        <v>Large Family</v>
      </c>
      <c r="O203" s="27" t="str">
        <f t="shared" si="25"/>
        <v>Medium Fare</v>
      </c>
      <c r="P203" s="27" t="str">
        <f t="shared" si="26"/>
        <v>Third Class</v>
      </c>
      <c r="Q203" s="27">
        <f t="shared" si="27"/>
        <v>1</v>
      </c>
    </row>
    <row r="204" spans="1:17" x14ac:dyDescent="0.3">
      <c r="A204" s="15">
        <v>203</v>
      </c>
      <c r="B204" s="15">
        <v>0</v>
      </c>
      <c r="C204" s="15">
        <v>3</v>
      </c>
      <c r="D204" s="8" t="s">
        <v>395</v>
      </c>
      <c r="E204" s="8" t="s">
        <v>11</v>
      </c>
      <c r="F204" s="24">
        <v>34</v>
      </c>
      <c r="G204" s="15">
        <v>0</v>
      </c>
      <c r="H204" s="15">
        <v>0</v>
      </c>
      <c r="I204" s="8" t="s">
        <v>396</v>
      </c>
      <c r="J204" s="20">
        <v>6.4958</v>
      </c>
      <c r="K204" s="27" t="str">
        <f t="shared" si="21"/>
        <v>Died</v>
      </c>
      <c r="L204" s="27" t="str">
        <f t="shared" si="22"/>
        <v>Young Adult</v>
      </c>
      <c r="M204" s="28">
        <f t="shared" si="23"/>
        <v>1</v>
      </c>
      <c r="N204" s="27" t="str">
        <f t="shared" si="24"/>
        <v>Alone</v>
      </c>
      <c r="O204" s="27" t="str">
        <f t="shared" si="25"/>
        <v>Low Fare</v>
      </c>
      <c r="P204" s="27" t="str">
        <f t="shared" si="26"/>
        <v>Third Class</v>
      </c>
      <c r="Q204" s="27">
        <f t="shared" si="27"/>
        <v>1</v>
      </c>
    </row>
    <row r="205" spans="1:17" x14ac:dyDescent="0.3">
      <c r="A205" s="16">
        <v>204</v>
      </c>
      <c r="B205" s="16">
        <v>0</v>
      </c>
      <c r="C205" s="16">
        <v>3</v>
      </c>
      <c r="D205" s="11" t="s">
        <v>397</v>
      </c>
      <c r="E205" s="11" t="s">
        <v>11</v>
      </c>
      <c r="F205" s="25">
        <v>45.5</v>
      </c>
      <c r="G205" s="16">
        <v>0</v>
      </c>
      <c r="H205" s="16">
        <v>0</v>
      </c>
      <c r="I205" s="11" t="s">
        <v>398</v>
      </c>
      <c r="J205" s="21">
        <v>7.2249999999999996</v>
      </c>
      <c r="K205" s="27" t="str">
        <f t="shared" si="21"/>
        <v>Died</v>
      </c>
      <c r="L205" s="27" t="str">
        <f t="shared" si="22"/>
        <v>Adult</v>
      </c>
      <c r="M205" s="28">
        <f t="shared" si="23"/>
        <v>1</v>
      </c>
      <c r="N205" s="27" t="str">
        <f t="shared" si="24"/>
        <v>Alone</v>
      </c>
      <c r="O205" s="27" t="str">
        <f t="shared" si="25"/>
        <v>Low Fare</v>
      </c>
      <c r="P205" s="27" t="str">
        <f t="shared" si="26"/>
        <v>Third Class</v>
      </c>
      <c r="Q205" s="27">
        <f t="shared" si="27"/>
        <v>1</v>
      </c>
    </row>
    <row r="206" spans="1:17" x14ac:dyDescent="0.3">
      <c r="A206" s="15">
        <v>205</v>
      </c>
      <c r="B206" s="15">
        <v>1</v>
      </c>
      <c r="C206" s="15">
        <v>3</v>
      </c>
      <c r="D206" s="8" t="s">
        <v>399</v>
      </c>
      <c r="E206" s="8" t="s">
        <v>11</v>
      </c>
      <c r="F206" s="24">
        <v>18</v>
      </c>
      <c r="G206" s="15">
        <v>0</v>
      </c>
      <c r="H206" s="15">
        <v>0</v>
      </c>
      <c r="I206" s="8" t="s">
        <v>400</v>
      </c>
      <c r="J206" s="20">
        <v>8.0500000000000007</v>
      </c>
      <c r="K206" s="27" t="str">
        <f t="shared" si="21"/>
        <v>Survived</v>
      </c>
      <c r="L206" s="27" t="str">
        <f t="shared" si="22"/>
        <v>Young Adult</v>
      </c>
      <c r="M206" s="28">
        <f t="shared" si="23"/>
        <v>1</v>
      </c>
      <c r="N206" s="27" t="str">
        <f t="shared" si="24"/>
        <v>Alone</v>
      </c>
      <c r="O206" s="27" t="str">
        <f t="shared" si="25"/>
        <v>Low Fare</v>
      </c>
      <c r="P206" s="27" t="str">
        <f t="shared" si="26"/>
        <v>Third Class</v>
      </c>
      <c r="Q206" s="27">
        <f t="shared" si="27"/>
        <v>1</v>
      </c>
    </row>
    <row r="207" spans="1:17" x14ac:dyDescent="0.3">
      <c r="A207" s="16">
        <v>206</v>
      </c>
      <c r="B207" s="16">
        <v>0</v>
      </c>
      <c r="C207" s="16">
        <v>3</v>
      </c>
      <c r="D207" s="11" t="s">
        <v>401</v>
      </c>
      <c r="E207" s="11" t="s">
        <v>14</v>
      </c>
      <c r="F207" s="25">
        <v>2</v>
      </c>
      <c r="G207" s="16">
        <v>0</v>
      </c>
      <c r="H207" s="16">
        <v>1</v>
      </c>
      <c r="I207" s="11" t="s">
        <v>402</v>
      </c>
      <c r="J207" s="21">
        <v>10.4625</v>
      </c>
      <c r="K207" s="27" t="str">
        <f t="shared" si="21"/>
        <v>Died</v>
      </c>
      <c r="L207" s="27" t="str">
        <f t="shared" si="22"/>
        <v>Child</v>
      </c>
      <c r="M207" s="28">
        <f t="shared" si="23"/>
        <v>2</v>
      </c>
      <c r="N207" s="27" t="str">
        <f t="shared" si="24"/>
        <v>Small Family</v>
      </c>
      <c r="O207" s="27" t="str">
        <f t="shared" si="25"/>
        <v>Low Fare</v>
      </c>
      <c r="P207" s="27" t="str">
        <f t="shared" si="26"/>
        <v>Third Class</v>
      </c>
      <c r="Q207" s="27">
        <f t="shared" si="27"/>
        <v>2</v>
      </c>
    </row>
    <row r="208" spans="1:17" x14ac:dyDescent="0.3">
      <c r="A208" s="15">
        <v>207</v>
      </c>
      <c r="B208" s="15">
        <v>0</v>
      </c>
      <c r="C208" s="15">
        <v>3</v>
      </c>
      <c r="D208" s="8" t="s">
        <v>403</v>
      </c>
      <c r="E208" s="8" t="s">
        <v>11</v>
      </c>
      <c r="F208" s="24">
        <v>32</v>
      </c>
      <c r="G208" s="15">
        <v>1</v>
      </c>
      <c r="H208" s="15">
        <v>0</v>
      </c>
      <c r="I208" s="8" t="s">
        <v>181</v>
      </c>
      <c r="J208" s="20">
        <v>15.85</v>
      </c>
      <c r="K208" s="27" t="str">
        <f t="shared" si="21"/>
        <v>Died</v>
      </c>
      <c r="L208" s="27" t="str">
        <f t="shared" si="22"/>
        <v>Young Adult</v>
      </c>
      <c r="M208" s="28">
        <f t="shared" si="23"/>
        <v>2</v>
      </c>
      <c r="N208" s="27" t="str">
        <f t="shared" si="24"/>
        <v>Small Family</v>
      </c>
      <c r="O208" s="27" t="str">
        <f t="shared" si="25"/>
        <v>Low Fare</v>
      </c>
      <c r="P208" s="27" t="str">
        <f t="shared" si="26"/>
        <v>Third Class</v>
      </c>
      <c r="Q208" s="27">
        <f t="shared" si="27"/>
        <v>1</v>
      </c>
    </row>
    <row r="209" spans="1:17" x14ac:dyDescent="0.3">
      <c r="A209" s="16">
        <v>208</v>
      </c>
      <c r="B209" s="16">
        <v>1</v>
      </c>
      <c r="C209" s="16">
        <v>3</v>
      </c>
      <c r="D209" s="11" t="s">
        <v>404</v>
      </c>
      <c r="E209" s="11" t="s">
        <v>11</v>
      </c>
      <c r="F209" s="25">
        <v>26</v>
      </c>
      <c r="G209" s="16">
        <v>0</v>
      </c>
      <c r="H209" s="16">
        <v>0</v>
      </c>
      <c r="I209" s="11" t="s">
        <v>405</v>
      </c>
      <c r="J209" s="21">
        <v>18.787500000000001</v>
      </c>
      <c r="K209" s="27" t="str">
        <f t="shared" si="21"/>
        <v>Survived</v>
      </c>
      <c r="L209" s="27" t="str">
        <f t="shared" si="22"/>
        <v>Young Adult</v>
      </c>
      <c r="M209" s="28">
        <f t="shared" si="23"/>
        <v>1</v>
      </c>
      <c r="N209" s="27" t="str">
        <f t="shared" si="24"/>
        <v>Alone</v>
      </c>
      <c r="O209" s="27" t="str">
        <f t="shared" si="25"/>
        <v>Low Fare</v>
      </c>
      <c r="P209" s="27" t="str">
        <f t="shared" si="26"/>
        <v>Third Class</v>
      </c>
      <c r="Q209" s="27">
        <f t="shared" si="27"/>
        <v>1</v>
      </c>
    </row>
    <row r="210" spans="1:17" x14ac:dyDescent="0.3">
      <c r="A210" s="15">
        <v>209</v>
      </c>
      <c r="B210" s="15">
        <v>1</v>
      </c>
      <c r="C210" s="15">
        <v>3</v>
      </c>
      <c r="D210" s="8" t="s">
        <v>406</v>
      </c>
      <c r="E210" s="8" t="s">
        <v>14</v>
      </c>
      <c r="F210" s="24">
        <v>16</v>
      </c>
      <c r="G210" s="15">
        <v>0</v>
      </c>
      <c r="H210" s="15">
        <v>0</v>
      </c>
      <c r="I210" s="8" t="s">
        <v>407</v>
      </c>
      <c r="J210" s="20">
        <v>7.75</v>
      </c>
      <c r="K210" s="27" t="str">
        <f t="shared" si="21"/>
        <v>Survived</v>
      </c>
      <c r="L210" s="27" t="str">
        <f t="shared" si="22"/>
        <v>Child</v>
      </c>
      <c r="M210" s="28">
        <f t="shared" si="23"/>
        <v>1</v>
      </c>
      <c r="N210" s="27" t="str">
        <f t="shared" si="24"/>
        <v>Alone</v>
      </c>
      <c r="O210" s="27" t="str">
        <f t="shared" si="25"/>
        <v>Low Fare</v>
      </c>
      <c r="P210" s="27" t="str">
        <f t="shared" si="26"/>
        <v>Third Class</v>
      </c>
      <c r="Q210" s="27">
        <f t="shared" si="27"/>
        <v>2</v>
      </c>
    </row>
    <row r="211" spans="1:17" x14ac:dyDescent="0.3">
      <c r="A211" s="16">
        <v>210</v>
      </c>
      <c r="B211" s="16">
        <v>1</v>
      </c>
      <c r="C211" s="16">
        <v>1</v>
      </c>
      <c r="D211" s="11" t="s">
        <v>408</v>
      </c>
      <c r="E211" s="11" t="s">
        <v>11</v>
      </c>
      <c r="F211" s="25">
        <v>40</v>
      </c>
      <c r="G211" s="16">
        <v>0</v>
      </c>
      <c r="H211" s="16">
        <v>0</v>
      </c>
      <c r="I211" s="11" t="s">
        <v>409</v>
      </c>
      <c r="J211" s="21">
        <v>31</v>
      </c>
      <c r="K211" s="27" t="str">
        <f t="shared" si="21"/>
        <v>Survived</v>
      </c>
      <c r="L211" s="27" t="str">
        <f t="shared" si="22"/>
        <v>Adult</v>
      </c>
      <c r="M211" s="28">
        <f t="shared" si="23"/>
        <v>1</v>
      </c>
      <c r="N211" s="27" t="str">
        <f t="shared" si="24"/>
        <v>Alone</v>
      </c>
      <c r="O211" s="27" t="str">
        <f t="shared" si="25"/>
        <v>Medium Fare</v>
      </c>
      <c r="P211" s="27" t="str">
        <f t="shared" si="26"/>
        <v>First Class</v>
      </c>
      <c r="Q211" s="27">
        <f t="shared" si="27"/>
        <v>1</v>
      </c>
    </row>
    <row r="212" spans="1:17" x14ac:dyDescent="0.3">
      <c r="A212" s="15">
        <v>211</v>
      </c>
      <c r="B212" s="15">
        <v>0</v>
      </c>
      <c r="C212" s="15">
        <v>3</v>
      </c>
      <c r="D212" s="8" t="s">
        <v>410</v>
      </c>
      <c r="E212" s="8" t="s">
        <v>11</v>
      </c>
      <c r="F212" s="24">
        <v>24</v>
      </c>
      <c r="G212" s="15">
        <v>0</v>
      </c>
      <c r="H212" s="15">
        <v>0</v>
      </c>
      <c r="I212" s="8" t="s">
        <v>411</v>
      </c>
      <c r="J212" s="20">
        <v>7.05</v>
      </c>
      <c r="K212" s="27" t="str">
        <f t="shared" si="21"/>
        <v>Died</v>
      </c>
      <c r="L212" s="27" t="str">
        <f t="shared" si="22"/>
        <v>Young Adult</v>
      </c>
      <c r="M212" s="28">
        <f t="shared" si="23"/>
        <v>1</v>
      </c>
      <c r="N212" s="27" t="str">
        <f t="shared" si="24"/>
        <v>Alone</v>
      </c>
      <c r="O212" s="27" t="str">
        <f t="shared" si="25"/>
        <v>Low Fare</v>
      </c>
      <c r="P212" s="27" t="str">
        <f t="shared" si="26"/>
        <v>Third Class</v>
      </c>
      <c r="Q212" s="27">
        <f t="shared" si="27"/>
        <v>1</v>
      </c>
    </row>
    <row r="213" spans="1:17" x14ac:dyDescent="0.3">
      <c r="A213" s="16">
        <v>212</v>
      </c>
      <c r="B213" s="16">
        <v>1</v>
      </c>
      <c r="C213" s="16">
        <v>2</v>
      </c>
      <c r="D213" s="11" t="s">
        <v>412</v>
      </c>
      <c r="E213" s="11" t="s">
        <v>14</v>
      </c>
      <c r="F213" s="25">
        <v>35</v>
      </c>
      <c r="G213" s="16">
        <v>0</v>
      </c>
      <c r="H213" s="16">
        <v>0</v>
      </c>
      <c r="I213" s="11" t="s">
        <v>413</v>
      </c>
      <c r="J213" s="21">
        <v>21</v>
      </c>
      <c r="K213" s="27" t="str">
        <f t="shared" si="21"/>
        <v>Survived</v>
      </c>
      <c r="L213" s="27" t="str">
        <f t="shared" si="22"/>
        <v>Adult</v>
      </c>
      <c r="M213" s="28">
        <f t="shared" si="23"/>
        <v>1</v>
      </c>
      <c r="N213" s="27" t="str">
        <f t="shared" si="24"/>
        <v>Alone</v>
      </c>
      <c r="O213" s="27" t="str">
        <f t="shared" si="25"/>
        <v>Low Fare</v>
      </c>
      <c r="P213" s="27" t="str">
        <f t="shared" si="26"/>
        <v>Second Class</v>
      </c>
      <c r="Q213" s="27">
        <f t="shared" si="27"/>
        <v>2</v>
      </c>
    </row>
    <row r="214" spans="1:17" x14ac:dyDescent="0.3">
      <c r="A214" s="15">
        <v>213</v>
      </c>
      <c r="B214" s="15">
        <v>0</v>
      </c>
      <c r="C214" s="15">
        <v>3</v>
      </c>
      <c r="D214" s="8" t="s">
        <v>414</v>
      </c>
      <c r="E214" s="8" t="s">
        <v>11</v>
      </c>
      <c r="F214" s="24">
        <v>22</v>
      </c>
      <c r="G214" s="15">
        <v>0</v>
      </c>
      <c r="H214" s="15">
        <v>0</v>
      </c>
      <c r="I214" s="8" t="s">
        <v>415</v>
      </c>
      <c r="J214" s="20">
        <v>7.25</v>
      </c>
      <c r="K214" s="27" t="str">
        <f t="shared" si="21"/>
        <v>Died</v>
      </c>
      <c r="L214" s="27" t="str">
        <f t="shared" si="22"/>
        <v>Young Adult</v>
      </c>
      <c r="M214" s="28">
        <f t="shared" si="23"/>
        <v>1</v>
      </c>
      <c r="N214" s="27" t="str">
        <f t="shared" si="24"/>
        <v>Alone</v>
      </c>
      <c r="O214" s="27" t="str">
        <f t="shared" si="25"/>
        <v>Low Fare</v>
      </c>
      <c r="P214" s="27" t="str">
        <f t="shared" si="26"/>
        <v>Third Class</v>
      </c>
      <c r="Q214" s="27">
        <f t="shared" si="27"/>
        <v>1</v>
      </c>
    </row>
    <row r="215" spans="1:17" x14ac:dyDescent="0.3">
      <c r="A215" s="16">
        <v>214</v>
      </c>
      <c r="B215" s="16">
        <v>0</v>
      </c>
      <c r="C215" s="16">
        <v>2</v>
      </c>
      <c r="D215" s="11" t="s">
        <v>416</v>
      </c>
      <c r="E215" s="11" t="s">
        <v>11</v>
      </c>
      <c r="F215" s="25">
        <v>30</v>
      </c>
      <c r="G215" s="16">
        <v>0</v>
      </c>
      <c r="H215" s="16">
        <v>0</v>
      </c>
      <c r="I215" s="11" t="s">
        <v>417</v>
      </c>
      <c r="J215" s="21">
        <v>13</v>
      </c>
      <c r="K215" s="27" t="str">
        <f t="shared" si="21"/>
        <v>Died</v>
      </c>
      <c r="L215" s="27" t="str">
        <f t="shared" si="22"/>
        <v>Young Adult</v>
      </c>
      <c r="M215" s="28">
        <f t="shared" si="23"/>
        <v>1</v>
      </c>
      <c r="N215" s="27" t="str">
        <f t="shared" si="24"/>
        <v>Alone</v>
      </c>
      <c r="O215" s="27" t="str">
        <f t="shared" si="25"/>
        <v>Low Fare</v>
      </c>
      <c r="P215" s="27" t="str">
        <f t="shared" si="26"/>
        <v>Second Class</v>
      </c>
      <c r="Q215" s="27">
        <f t="shared" si="27"/>
        <v>1</v>
      </c>
    </row>
    <row r="216" spans="1:17" x14ac:dyDescent="0.3">
      <c r="A216" s="15">
        <v>215</v>
      </c>
      <c r="B216" s="15">
        <v>0</v>
      </c>
      <c r="C216" s="15">
        <v>3</v>
      </c>
      <c r="D216" s="8" t="s">
        <v>418</v>
      </c>
      <c r="E216" s="8" t="s">
        <v>11</v>
      </c>
      <c r="F216" s="24">
        <v>26</v>
      </c>
      <c r="G216" s="15">
        <v>1</v>
      </c>
      <c r="H216" s="15">
        <v>0</v>
      </c>
      <c r="I216" s="8" t="s">
        <v>419</v>
      </c>
      <c r="J216" s="20">
        <v>7.75</v>
      </c>
      <c r="K216" s="27" t="str">
        <f t="shared" si="21"/>
        <v>Died</v>
      </c>
      <c r="L216" s="27" t="str">
        <f t="shared" si="22"/>
        <v>Young Adult</v>
      </c>
      <c r="M216" s="28">
        <f t="shared" si="23"/>
        <v>2</v>
      </c>
      <c r="N216" s="27" t="str">
        <f t="shared" si="24"/>
        <v>Small Family</v>
      </c>
      <c r="O216" s="27" t="str">
        <f t="shared" si="25"/>
        <v>Low Fare</v>
      </c>
      <c r="P216" s="27" t="str">
        <f t="shared" si="26"/>
        <v>Third Class</v>
      </c>
      <c r="Q216" s="27">
        <f t="shared" si="27"/>
        <v>1</v>
      </c>
    </row>
    <row r="217" spans="1:17" x14ac:dyDescent="0.3">
      <c r="A217" s="16">
        <v>216</v>
      </c>
      <c r="B217" s="16">
        <v>1</v>
      </c>
      <c r="C217" s="16">
        <v>1</v>
      </c>
      <c r="D217" s="11" t="s">
        <v>420</v>
      </c>
      <c r="E217" s="11" t="s">
        <v>14</v>
      </c>
      <c r="F217" s="25">
        <v>31</v>
      </c>
      <c r="G217" s="16">
        <v>1</v>
      </c>
      <c r="H217" s="16">
        <v>0</v>
      </c>
      <c r="I217" s="11" t="s">
        <v>421</v>
      </c>
      <c r="J217" s="21">
        <v>113.27500000000001</v>
      </c>
      <c r="K217" s="27" t="str">
        <f t="shared" si="21"/>
        <v>Survived</v>
      </c>
      <c r="L217" s="27" t="str">
        <f t="shared" si="22"/>
        <v>Young Adult</v>
      </c>
      <c r="M217" s="28">
        <f t="shared" si="23"/>
        <v>2</v>
      </c>
      <c r="N217" s="27" t="str">
        <f t="shared" si="24"/>
        <v>Small Family</v>
      </c>
      <c r="O217" s="27" t="str">
        <f t="shared" si="25"/>
        <v>High Fare</v>
      </c>
      <c r="P217" s="27" t="str">
        <f t="shared" si="26"/>
        <v>First Class</v>
      </c>
      <c r="Q217" s="27">
        <f t="shared" si="27"/>
        <v>2</v>
      </c>
    </row>
    <row r="218" spans="1:17" x14ac:dyDescent="0.3">
      <c r="A218" s="15">
        <v>217</v>
      </c>
      <c r="B218" s="15">
        <v>1</v>
      </c>
      <c r="C218" s="15">
        <v>3</v>
      </c>
      <c r="D218" s="8" t="s">
        <v>422</v>
      </c>
      <c r="E218" s="8" t="s">
        <v>14</v>
      </c>
      <c r="F218" s="24">
        <v>27</v>
      </c>
      <c r="G218" s="15">
        <v>0</v>
      </c>
      <c r="H218" s="15">
        <v>0</v>
      </c>
      <c r="I218" s="8" t="s">
        <v>423</v>
      </c>
      <c r="J218" s="20">
        <v>7.9249999999999998</v>
      </c>
      <c r="K218" s="27" t="str">
        <f t="shared" si="21"/>
        <v>Survived</v>
      </c>
      <c r="L218" s="27" t="str">
        <f t="shared" si="22"/>
        <v>Young Adult</v>
      </c>
      <c r="M218" s="28">
        <f t="shared" si="23"/>
        <v>1</v>
      </c>
      <c r="N218" s="27" t="str">
        <f t="shared" si="24"/>
        <v>Alone</v>
      </c>
      <c r="O218" s="27" t="str">
        <f t="shared" si="25"/>
        <v>Low Fare</v>
      </c>
      <c r="P218" s="27" t="str">
        <f t="shared" si="26"/>
        <v>Third Class</v>
      </c>
      <c r="Q218" s="27">
        <f t="shared" si="27"/>
        <v>2</v>
      </c>
    </row>
    <row r="219" spans="1:17" x14ac:dyDescent="0.3">
      <c r="A219" s="16">
        <v>218</v>
      </c>
      <c r="B219" s="16">
        <v>0</v>
      </c>
      <c r="C219" s="16">
        <v>2</v>
      </c>
      <c r="D219" s="11" t="s">
        <v>424</v>
      </c>
      <c r="E219" s="11" t="s">
        <v>11</v>
      </c>
      <c r="F219" s="25">
        <v>42</v>
      </c>
      <c r="G219" s="16">
        <v>1</v>
      </c>
      <c r="H219" s="16">
        <v>0</v>
      </c>
      <c r="I219" s="11" t="s">
        <v>425</v>
      </c>
      <c r="J219" s="21">
        <v>27</v>
      </c>
      <c r="K219" s="27" t="str">
        <f t="shared" si="21"/>
        <v>Died</v>
      </c>
      <c r="L219" s="27" t="str">
        <f t="shared" si="22"/>
        <v>Adult</v>
      </c>
      <c r="M219" s="28">
        <f t="shared" si="23"/>
        <v>2</v>
      </c>
      <c r="N219" s="27" t="str">
        <f t="shared" si="24"/>
        <v>Small Family</v>
      </c>
      <c r="O219" s="27" t="str">
        <f t="shared" si="25"/>
        <v>Medium Fare</v>
      </c>
      <c r="P219" s="27" t="str">
        <f t="shared" si="26"/>
        <v>Second Class</v>
      </c>
      <c r="Q219" s="27">
        <f t="shared" si="27"/>
        <v>1</v>
      </c>
    </row>
    <row r="220" spans="1:17" x14ac:dyDescent="0.3">
      <c r="A220" s="15">
        <v>219</v>
      </c>
      <c r="B220" s="15">
        <v>1</v>
      </c>
      <c r="C220" s="15">
        <v>1</v>
      </c>
      <c r="D220" s="8" t="s">
        <v>426</v>
      </c>
      <c r="E220" s="8" t="s">
        <v>14</v>
      </c>
      <c r="F220" s="24">
        <v>32</v>
      </c>
      <c r="G220" s="15">
        <v>0</v>
      </c>
      <c r="H220" s="15">
        <v>0</v>
      </c>
      <c r="I220" s="8" t="s">
        <v>427</v>
      </c>
      <c r="J220" s="20">
        <v>76.291700000000006</v>
      </c>
      <c r="K220" s="27" t="str">
        <f t="shared" si="21"/>
        <v>Survived</v>
      </c>
      <c r="L220" s="27" t="str">
        <f t="shared" si="22"/>
        <v>Young Adult</v>
      </c>
      <c r="M220" s="28">
        <f t="shared" si="23"/>
        <v>1</v>
      </c>
      <c r="N220" s="27" t="str">
        <f t="shared" si="24"/>
        <v>Alone</v>
      </c>
      <c r="O220" s="27" t="str">
        <f t="shared" si="25"/>
        <v>Medium Fare</v>
      </c>
      <c r="P220" s="27" t="str">
        <f t="shared" si="26"/>
        <v>First Class</v>
      </c>
      <c r="Q220" s="27">
        <f t="shared" si="27"/>
        <v>2</v>
      </c>
    </row>
    <row r="221" spans="1:17" x14ac:dyDescent="0.3">
      <c r="A221" s="16">
        <v>220</v>
      </c>
      <c r="B221" s="16">
        <v>0</v>
      </c>
      <c r="C221" s="16">
        <v>2</v>
      </c>
      <c r="D221" s="11" t="s">
        <v>428</v>
      </c>
      <c r="E221" s="11" t="s">
        <v>11</v>
      </c>
      <c r="F221" s="25">
        <v>30</v>
      </c>
      <c r="G221" s="16">
        <v>0</v>
      </c>
      <c r="H221" s="16">
        <v>0</v>
      </c>
      <c r="I221" s="11" t="s">
        <v>429</v>
      </c>
      <c r="J221" s="21">
        <v>10.5</v>
      </c>
      <c r="K221" s="27" t="str">
        <f t="shared" si="21"/>
        <v>Died</v>
      </c>
      <c r="L221" s="27" t="str">
        <f t="shared" si="22"/>
        <v>Young Adult</v>
      </c>
      <c r="M221" s="28">
        <f t="shared" si="23"/>
        <v>1</v>
      </c>
      <c r="N221" s="27" t="str">
        <f t="shared" si="24"/>
        <v>Alone</v>
      </c>
      <c r="O221" s="27" t="str">
        <f t="shared" si="25"/>
        <v>Low Fare</v>
      </c>
      <c r="P221" s="27" t="str">
        <f t="shared" si="26"/>
        <v>Second Class</v>
      </c>
      <c r="Q221" s="27">
        <f t="shared" si="27"/>
        <v>1</v>
      </c>
    </row>
    <row r="222" spans="1:17" x14ac:dyDescent="0.3">
      <c r="A222" s="15">
        <v>221</v>
      </c>
      <c r="B222" s="15">
        <v>1</v>
      </c>
      <c r="C222" s="15">
        <v>3</v>
      </c>
      <c r="D222" s="8" t="s">
        <v>430</v>
      </c>
      <c r="E222" s="8" t="s">
        <v>11</v>
      </c>
      <c r="F222" s="24">
        <v>16</v>
      </c>
      <c r="G222" s="15">
        <v>0</v>
      </c>
      <c r="H222" s="15">
        <v>0</v>
      </c>
      <c r="I222" s="8" t="s">
        <v>431</v>
      </c>
      <c r="J222" s="20">
        <v>8.0500000000000007</v>
      </c>
      <c r="K222" s="27" t="str">
        <f t="shared" si="21"/>
        <v>Survived</v>
      </c>
      <c r="L222" s="27" t="str">
        <f t="shared" si="22"/>
        <v>Child</v>
      </c>
      <c r="M222" s="28">
        <f t="shared" si="23"/>
        <v>1</v>
      </c>
      <c r="N222" s="27" t="str">
        <f t="shared" si="24"/>
        <v>Alone</v>
      </c>
      <c r="O222" s="27" t="str">
        <f t="shared" si="25"/>
        <v>Low Fare</v>
      </c>
      <c r="P222" s="27" t="str">
        <f t="shared" si="26"/>
        <v>Third Class</v>
      </c>
      <c r="Q222" s="27">
        <f t="shared" si="27"/>
        <v>1</v>
      </c>
    </row>
    <row r="223" spans="1:17" x14ac:dyDescent="0.3">
      <c r="A223" s="16">
        <v>222</v>
      </c>
      <c r="B223" s="16">
        <v>0</v>
      </c>
      <c r="C223" s="16">
        <v>2</v>
      </c>
      <c r="D223" s="11" t="s">
        <v>432</v>
      </c>
      <c r="E223" s="11" t="s">
        <v>11</v>
      </c>
      <c r="F223" s="25">
        <v>27</v>
      </c>
      <c r="G223" s="16">
        <v>0</v>
      </c>
      <c r="H223" s="16">
        <v>0</v>
      </c>
      <c r="I223" s="11" t="s">
        <v>433</v>
      </c>
      <c r="J223" s="21">
        <v>13</v>
      </c>
      <c r="K223" s="27" t="str">
        <f t="shared" si="21"/>
        <v>Died</v>
      </c>
      <c r="L223" s="27" t="str">
        <f t="shared" si="22"/>
        <v>Young Adult</v>
      </c>
      <c r="M223" s="28">
        <f t="shared" si="23"/>
        <v>1</v>
      </c>
      <c r="N223" s="27" t="str">
        <f t="shared" si="24"/>
        <v>Alone</v>
      </c>
      <c r="O223" s="27" t="str">
        <f t="shared" si="25"/>
        <v>Low Fare</v>
      </c>
      <c r="P223" s="27" t="str">
        <f t="shared" si="26"/>
        <v>Second Class</v>
      </c>
      <c r="Q223" s="27">
        <f t="shared" si="27"/>
        <v>1</v>
      </c>
    </row>
    <row r="224" spans="1:17" x14ac:dyDescent="0.3">
      <c r="A224" s="15">
        <v>223</v>
      </c>
      <c r="B224" s="15">
        <v>0</v>
      </c>
      <c r="C224" s="15">
        <v>3</v>
      </c>
      <c r="D224" s="8" t="s">
        <v>434</v>
      </c>
      <c r="E224" s="8" t="s">
        <v>11</v>
      </c>
      <c r="F224" s="24">
        <v>51</v>
      </c>
      <c r="G224" s="15">
        <v>0</v>
      </c>
      <c r="H224" s="15">
        <v>0</v>
      </c>
      <c r="I224" s="8" t="s">
        <v>435</v>
      </c>
      <c r="J224" s="20">
        <v>8.0500000000000007</v>
      </c>
      <c r="K224" s="27" t="str">
        <f t="shared" si="21"/>
        <v>Died</v>
      </c>
      <c r="L224" s="27" t="str">
        <f t="shared" si="22"/>
        <v>Adult</v>
      </c>
      <c r="M224" s="28">
        <f t="shared" si="23"/>
        <v>1</v>
      </c>
      <c r="N224" s="27" t="str">
        <f t="shared" si="24"/>
        <v>Alone</v>
      </c>
      <c r="O224" s="27" t="str">
        <f t="shared" si="25"/>
        <v>Low Fare</v>
      </c>
      <c r="P224" s="27" t="str">
        <f t="shared" si="26"/>
        <v>Third Class</v>
      </c>
      <c r="Q224" s="27">
        <f t="shared" si="27"/>
        <v>1</v>
      </c>
    </row>
    <row r="225" spans="1:17" x14ac:dyDescent="0.3">
      <c r="A225" s="16">
        <v>224</v>
      </c>
      <c r="B225" s="16">
        <v>0</v>
      </c>
      <c r="C225" s="16">
        <v>3</v>
      </c>
      <c r="D225" s="11" t="s">
        <v>436</v>
      </c>
      <c r="E225" s="11" t="s">
        <v>11</v>
      </c>
      <c r="F225" s="25">
        <v>26</v>
      </c>
      <c r="G225" s="16">
        <v>0</v>
      </c>
      <c r="H225" s="16">
        <v>0</v>
      </c>
      <c r="I225" s="11" t="s">
        <v>437</v>
      </c>
      <c r="J225" s="21">
        <v>7.8958000000000004</v>
      </c>
      <c r="K225" s="27" t="str">
        <f t="shared" si="21"/>
        <v>Died</v>
      </c>
      <c r="L225" s="27" t="str">
        <f t="shared" si="22"/>
        <v>Young Adult</v>
      </c>
      <c r="M225" s="28">
        <f t="shared" si="23"/>
        <v>1</v>
      </c>
      <c r="N225" s="27" t="str">
        <f t="shared" si="24"/>
        <v>Alone</v>
      </c>
      <c r="O225" s="27" t="str">
        <f t="shared" si="25"/>
        <v>Low Fare</v>
      </c>
      <c r="P225" s="27" t="str">
        <f t="shared" si="26"/>
        <v>Third Class</v>
      </c>
      <c r="Q225" s="27">
        <f t="shared" si="27"/>
        <v>1</v>
      </c>
    </row>
    <row r="226" spans="1:17" x14ac:dyDescent="0.3">
      <c r="A226" s="15">
        <v>225</v>
      </c>
      <c r="B226" s="15">
        <v>1</v>
      </c>
      <c r="C226" s="15">
        <v>1</v>
      </c>
      <c r="D226" s="8" t="s">
        <v>438</v>
      </c>
      <c r="E226" s="8" t="s">
        <v>11</v>
      </c>
      <c r="F226" s="24">
        <v>38</v>
      </c>
      <c r="G226" s="15">
        <v>1</v>
      </c>
      <c r="H226" s="15">
        <v>0</v>
      </c>
      <c r="I226" s="8" t="s">
        <v>439</v>
      </c>
      <c r="J226" s="20">
        <v>90</v>
      </c>
      <c r="K226" s="27" t="str">
        <f t="shared" si="21"/>
        <v>Survived</v>
      </c>
      <c r="L226" s="27" t="str">
        <f t="shared" si="22"/>
        <v>Adult</v>
      </c>
      <c r="M226" s="28">
        <f t="shared" si="23"/>
        <v>2</v>
      </c>
      <c r="N226" s="27" t="str">
        <f t="shared" si="24"/>
        <v>Small Family</v>
      </c>
      <c r="O226" s="27" t="str">
        <f t="shared" si="25"/>
        <v>Medium Fare</v>
      </c>
      <c r="P226" s="27" t="str">
        <f t="shared" si="26"/>
        <v>First Class</v>
      </c>
      <c r="Q226" s="27">
        <f t="shared" si="27"/>
        <v>1</v>
      </c>
    </row>
    <row r="227" spans="1:17" x14ac:dyDescent="0.3">
      <c r="A227" s="16">
        <v>226</v>
      </c>
      <c r="B227" s="16">
        <v>0</v>
      </c>
      <c r="C227" s="16">
        <v>3</v>
      </c>
      <c r="D227" s="11" t="s">
        <v>440</v>
      </c>
      <c r="E227" s="11" t="s">
        <v>11</v>
      </c>
      <c r="F227" s="25">
        <v>22</v>
      </c>
      <c r="G227" s="16">
        <v>0</v>
      </c>
      <c r="H227" s="16">
        <v>0</v>
      </c>
      <c r="I227" s="11" t="s">
        <v>441</v>
      </c>
      <c r="J227" s="21">
        <v>9.35</v>
      </c>
      <c r="K227" s="27" t="str">
        <f t="shared" si="21"/>
        <v>Died</v>
      </c>
      <c r="L227" s="27" t="str">
        <f t="shared" si="22"/>
        <v>Young Adult</v>
      </c>
      <c r="M227" s="28">
        <f t="shared" si="23"/>
        <v>1</v>
      </c>
      <c r="N227" s="27" t="str">
        <f t="shared" si="24"/>
        <v>Alone</v>
      </c>
      <c r="O227" s="27" t="str">
        <f t="shared" si="25"/>
        <v>Low Fare</v>
      </c>
      <c r="P227" s="27" t="str">
        <f t="shared" si="26"/>
        <v>Third Class</v>
      </c>
      <c r="Q227" s="27">
        <f t="shared" si="27"/>
        <v>1</v>
      </c>
    </row>
    <row r="228" spans="1:17" x14ac:dyDescent="0.3">
      <c r="A228" s="15">
        <v>227</v>
      </c>
      <c r="B228" s="15">
        <v>1</v>
      </c>
      <c r="C228" s="15">
        <v>2</v>
      </c>
      <c r="D228" s="8" t="s">
        <v>442</v>
      </c>
      <c r="E228" s="8" t="s">
        <v>11</v>
      </c>
      <c r="F228" s="24">
        <v>19</v>
      </c>
      <c r="G228" s="15">
        <v>0</v>
      </c>
      <c r="H228" s="15">
        <v>0</v>
      </c>
      <c r="I228" s="8" t="s">
        <v>443</v>
      </c>
      <c r="J228" s="20">
        <v>10.5</v>
      </c>
      <c r="K228" s="27" t="str">
        <f t="shared" si="21"/>
        <v>Survived</v>
      </c>
      <c r="L228" s="27" t="str">
        <f t="shared" si="22"/>
        <v>Young Adult</v>
      </c>
      <c r="M228" s="28">
        <f t="shared" si="23"/>
        <v>1</v>
      </c>
      <c r="N228" s="27" t="str">
        <f t="shared" si="24"/>
        <v>Alone</v>
      </c>
      <c r="O228" s="27" t="str">
        <f t="shared" si="25"/>
        <v>Low Fare</v>
      </c>
      <c r="P228" s="27" t="str">
        <f t="shared" si="26"/>
        <v>Second Class</v>
      </c>
      <c r="Q228" s="27">
        <f t="shared" si="27"/>
        <v>1</v>
      </c>
    </row>
    <row r="229" spans="1:17" x14ac:dyDescent="0.3">
      <c r="A229" s="16">
        <v>228</v>
      </c>
      <c r="B229" s="16">
        <v>0</v>
      </c>
      <c r="C229" s="16">
        <v>3</v>
      </c>
      <c r="D229" s="11" t="s">
        <v>444</v>
      </c>
      <c r="E229" s="11" t="s">
        <v>11</v>
      </c>
      <c r="F229" s="25">
        <v>20.5</v>
      </c>
      <c r="G229" s="16">
        <v>0</v>
      </c>
      <c r="H229" s="16">
        <v>0</v>
      </c>
      <c r="I229" s="11" t="s">
        <v>445</v>
      </c>
      <c r="J229" s="21">
        <v>7.25</v>
      </c>
      <c r="K229" s="27" t="str">
        <f t="shared" si="21"/>
        <v>Died</v>
      </c>
      <c r="L229" s="27" t="str">
        <f t="shared" si="22"/>
        <v>Young Adult</v>
      </c>
      <c r="M229" s="28">
        <f t="shared" si="23"/>
        <v>1</v>
      </c>
      <c r="N229" s="27" t="str">
        <f t="shared" si="24"/>
        <v>Alone</v>
      </c>
      <c r="O229" s="27" t="str">
        <f t="shared" si="25"/>
        <v>Low Fare</v>
      </c>
      <c r="P229" s="27" t="str">
        <f t="shared" si="26"/>
        <v>Third Class</v>
      </c>
      <c r="Q229" s="27">
        <f t="shared" si="27"/>
        <v>1</v>
      </c>
    </row>
    <row r="230" spans="1:17" x14ac:dyDescent="0.3">
      <c r="A230" s="15">
        <v>229</v>
      </c>
      <c r="B230" s="15">
        <v>0</v>
      </c>
      <c r="C230" s="15">
        <v>2</v>
      </c>
      <c r="D230" s="8" t="s">
        <v>446</v>
      </c>
      <c r="E230" s="8" t="s">
        <v>11</v>
      </c>
      <c r="F230" s="24">
        <v>18</v>
      </c>
      <c r="G230" s="15">
        <v>0</v>
      </c>
      <c r="H230" s="15">
        <v>0</v>
      </c>
      <c r="I230" s="8" t="s">
        <v>447</v>
      </c>
      <c r="J230" s="20">
        <v>13</v>
      </c>
      <c r="K230" s="27" t="str">
        <f t="shared" si="21"/>
        <v>Died</v>
      </c>
      <c r="L230" s="27" t="str">
        <f t="shared" si="22"/>
        <v>Young Adult</v>
      </c>
      <c r="M230" s="28">
        <f t="shared" si="23"/>
        <v>1</v>
      </c>
      <c r="N230" s="27" t="str">
        <f t="shared" si="24"/>
        <v>Alone</v>
      </c>
      <c r="O230" s="27" t="str">
        <f t="shared" si="25"/>
        <v>Low Fare</v>
      </c>
      <c r="P230" s="27" t="str">
        <f t="shared" si="26"/>
        <v>Second Class</v>
      </c>
      <c r="Q230" s="27">
        <f t="shared" si="27"/>
        <v>1</v>
      </c>
    </row>
    <row r="231" spans="1:17" x14ac:dyDescent="0.3">
      <c r="A231" s="16">
        <v>230</v>
      </c>
      <c r="B231" s="16">
        <v>0</v>
      </c>
      <c r="C231" s="16">
        <v>3</v>
      </c>
      <c r="D231" s="11" t="s">
        <v>448</v>
      </c>
      <c r="E231" s="11" t="s">
        <v>14</v>
      </c>
      <c r="F231" s="25">
        <v>26</v>
      </c>
      <c r="G231" s="16">
        <v>3</v>
      </c>
      <c r="H231" s="16">
        <v>1</v>
      </c>
      <c r="I231" s="11" t="s">
        <v>349</v>
      </c>
      <c r="J231" s="21">
        <v>25.466699999999999</v>
      </c>
      <c r="K231" s="27" t="str">
        <f t="shared" si="21"/>
        <v>Died</v>
      </c>
      <c r="L231" s="27" t="str">
        <f t="shared" si="22"/>
        <v>Young Adult</v>
      </c>
      <c r="M231" s="28">
        <f t="shared" si="23"/>
        <v>5</v>
      </c>
      <c r="N231" s="27" t="str">
        <f t="shared" si="24"/>
        <v>Large Family</v>
      </c>
      <c r="O231" s="27" t="str">
        <f t="shared" si="25"/>
        <v>Medium Fare</v>
      </c>
      <c r="P231" s="27" t="str">
        <f t="shared" si="26"/>
        <v>Third Class</v>
      </c>
      <c r="Q231" s="27">
        <f t="shared" si="27"/>
        <v>2</v>
      </c>
    </row>
    <row r="232" spans="1:17" x14ac:dyDescent="0.3">
      <c r="A232" s="15">
        <v>231</v>
      </c>
      <c r="B232" s="15">
        <v>1</v>
      </c>
      <c r="C232" s="15">
        <v>1</v>
      </c>
      <c r="D232" s="8" t="s">
        <v>449</v>
      </c>
      <c r="E232" s="8" t="s">
        <v>14</v>
      </c>
      <c r="F232" s="24">
        <v>35</v>
      </c>
      <c r="G232" s="15">
        <v>1</v>
      </c>
      <c r="H232" s="15">
        <v>0</v>
      </c>
      <c r="I232" s="8" t="s">
        <v>136</v>
      </c>
      <c r="J232" s="20">
        <v>83.474999999999994</v>
      </c>
      <c r="K232" s="27" t="str">
        <f t="shared" si="21"/>
        <v>Survived</v>
      </c>
      <c r="L232" s="27" t="str">
        <f t="shared" si="22"/>
        <v>Adult</v>
      </c>
      <c r="M232" s="28">
        <f t="shared" si="23"/>
        <v>2</v>
      </c>
      <c r="N232" s="27" t="str">
        <f t="shared" si="24"/>
        <v>Small Family</v>
      </c>
      <c r="O232" s="27" t="str">
        <f t="shared" si="25"/>
        <v>Medium Fare</v>
      </c>
      <c r="P232" s="27" t="str">
        <f t="shared" si="26"/>
        <v>First Class</v>
      </c>
      <c r="Q232" s="27">
        <f t="shared" si="27"/>
        <v>2</v>
      </c>
    </row>
    <row r="233" spans="1:17" x14ac:dyDescent="0.3">
      <c r="A233" s="16">
        <v>232</v>
      </c>
      <c r="B233" s="16">
        <v>0</v>
      </c>
      <c r="C233" s="16">
        <v>3</v>
      </c>
      <c r="D233" s="11" t="s">
        <v>450</v>
      </c>
      <c r="E233" s="11" t="s">
        <v>11</v>
      </c>
      <c r="F233" s="25">
        <v>29</v>
      </c>
      <c r="G233" s="16">
        <v>0</v>
      </c>
      <c r="H233" s="16">
        <v>0</v>
      </c>
      <c r="I233" s="11" t="s">
        <v>451</v>
      </c>
      <c r="J233" s="21">
        <v>7.7750000000000004</v>
      </c>
      <c r="K233" s="27" t="str">
        <f t="shared" si="21"/>
        <v>Died</v>
      </c>
      <c r="L233" s="27" t="str">
        <f t="shared" si="22"/>
        <v>Young Adult</v>
      </c>
      <c r="M233" s="28">
        <f t="shared" si="23"/>
        <v>1</v>
      </c>
      <c r="N233" s="27" t="str">
        <f t="shared" si="24"/>
        <v>Alone</v>
      </c>
      <c r="O233" s="27" t="str">
        <f t="shared" si="25"/>
        <v>Low Fare</v>
      </c>
      <c r="P233" s="27" t="str">
        <f t="shared" si="26"/>
        <v>Third Class</v>
      </c>
      <c r="Q233" s="27">
        <f t="shared" si="27"/>
        <v>1</v>
      </c>
    </row>
    <row r="234" spans="1:17" x14ac:dyDescent="0.3">
      <c r="A234" s="15">
        <v>233</v>
      </c>
      <c r="B234" s="15">
        <v>0</v>
      </c>
      <c r="C234" s="15">
        <v>2</v>
      </c>
      <c r="D234" s="8" t="s">
        <v>452</v>
      </c>
      <c r="E234" s="8" t="s">
        <v>11</v>
      </c>
      <c r="F234" s="24">
        <v>59</v>
      </c>
      <c r="G234" s="15">
        <v>0</v>
      </c>
      <c r="H234" s="15">
        <v>0</v>
      </c>
      <c r="I234" s="8" t="s">
        <v>453</v>
      </c>
      <c r="J234" s="20">
        <v>13.5</v>
      </c>
      <c r="K234" s="27" t="str">
        <f t="shared" si="21"/>
        <v>Died</v>
      </c>
      <c r="L234" s="27" t="str">
        <f t="shared" si="22"/>
        <v>Adult</v>
      </c>
      <c r="M234" s="28">
        <f t="shared" si="23"/>
        <v>1</v>
      </c>
      <c r="N234" s="27" t="str">
        <f t="shared" si="24"/>
        <v>Alone</v>
      </c>
      <c r="O234" s="27" t="str">
        <f t="shared" si="25"/>
        <v>Low Fare</v>
      </c>
      <c r="P234" s="27" t="str">
        <f t="shared" si="26"/>
        <v>Second Class</v>
      </c>
      <c r="Q234" s="27">
        <f t="shared" si="27"/>
        <v>1</v>
      </c>
    </row>
    <row r="235" spans="1:17" x14ac:dyDescent="0.3">
      <c r="A235" s="16">
        <v>234</v>
      </c>
      <c r="B235" s="16">
        <v>1</v>
      </c>
      <c r="C235" s="16">
        <v>3</v>
      </c>
      <c r="D235" s="11" t="s">
        <v>454</v>
      </c>
      <c r="E235" s="11" t="s">
        <v>14</v>
      </c>
      <c r="F235" s="25">
        <v>5</v>
      </c>
      <c r="G235" s="16">
        <v>4</v>
      </c>
      <c r="H235" s="16">
        <v>2</v>
      </c>
      <c r="I235" s="11" t="s">
        <v>62</v>
      </c>
      <c r="J235" s="21">
        <v>31.387499999999999</v>
      </c>
      <c r="K235" s="27" t="str">
        <f t="shared" si="21"/>
        <v>Survived</v>
      </c>
      <c r="L235" s="27" t="str">
        <f t="shared" si="22"/>
        <v>Child</v>
      </c>
      <c r="M235" s="28">
        <f t="shared" si="23"/>
        <v>7</v>
      </c>
      <c r="N235" s="27" t="str">
        <f t="shared" si="24"/>
        <v>Large Family</v>
      </c>
      <c r="O235" s="27" t="str">
        <f t="shared" si="25"/>
        <v>Medium Fare</v>
      </c>
      <c r="P235" s="27" t="str">
        <f t="shared" si="26"/>
        <v>Third Class</v>
      </c>
      <c r="Q235" s="27">
        <f t="shared" si="27"/>
        <v>2</v>
      </c>
    </row>
    <row r="236" spans="1:17" x14ac:dyDescent="0.3">
      <c r="A236" s="15">
        <v>235</v>
      </c>
      <c r="B236" s="15">
        <v>0</v>
      </c>
      <c r="C236" s="15">
        <v>2</v>
      </c>
      <c r="D236" s="8" t="s">
        <v>455</v>
      </c>
      <c r="E236" s="8" t="s">
        <v>11</v>
      </c>
      <c r="F236" s="24">
        <v>24</v>
      </c>
      <c r="G236" s="15">
        <v>0</v>
      </c>
      <c r="H236" s="15">
        <v>0</v>
      </c>
      <c r="I236" s="8" t="s">
        <v>456</v>
      </c>
      <c r="J236" s="20">
        <v>10.5</v>
      </c>
      <c r="K236" s="27" t="str">
        <f t="shared" si="21"/>
        <v>Died</v>
      </c>
      <c r="L236" s="27" t="str">
        <f t="shared" si="22"/>
        <v>Young Adult</v>
      </c>
      <c r="M236" s="28">
        <f t="shared" si="23"/>
        <v>1</v>
      </c>
      <c r="N236" s="27" t="str">
        <f t="shared" si="24"/>
        <v>Alone</v>
      </c>
      <c r="O236" s="27" t="str">
        <f t="shared" si="25"/>
        <v>Low Fare</v>
      </c>
      <c r="P236" s="27" t="str">
        <f t="shared" si="26"/>
        <v>Second Class</v>
      </c>
      <c r="Q236" s="27">
        <f t="shared" si="27"/>
        <v>1</v>
      </c>
    </row>
    <row r="237" spans="1:17" x14ac:dyDescent="0.3">
      <c r="A237" s="16">
        <v>236</v>
      </c>
      <c r="B237" s="16">
        <v>0</v>
      </c>
      <c r="C237" s="16">
        <v>3</v>
      </c>
      <c r="D237" s="11" t="s">
        <v>457</v>
      </c>
      <c r="E237" s="11" t="s">
        <v>14</v>
      </c>
      <c r="F237" s="25">
        <v>26</v>
      </c>
      <c r="G237" s="16">
        <v>0</v>
      </c>
      <c r="H237" s="16">
        <v>0</v>
      </c>
      <c r="I237" s="11" t="s">
        <v>458</v>
      </c>
      <c r="J237" s="21">
        <v>7.55</v>
      </c>
      <c r="K237" s="27" t="str">
        <f t="shared" si="21"/>
        <v>Died</v>
      </c>
      <c r="L237" s="27" t="str">
        <f t="shared" si="22"/>
        <v>Young Adult</v>
      </c>
      <c r="M237" s="28">
        <f t="shared" si="23"/>
        <v>1</v>
      </c>
      <c r="N237" s="27" t="str">
        <f t="shared" si="24"/>
        <v>Alone</v>
      </c>
      <c r="O237" s="27" t="str">
        <f t="shared" si="25"/>
        <v>Low Fare</v>
      </c>
      <c r="P237" s="27" t="str">
        <f t="shared" si="26"/>
        <v>Third Class</v>
      </c>
      <c r="Q237" s="27">
        <f t="shared" si="27"/>
        <v>2</v>
      </c>
    </row>
    <row r="238" spans="1:17" x14ac:dyDescent="0.3">
      <c r="A238" s="15">
        <v>237</v>
      </c>
      <c r="B238" s="15">
        <v>0</v>
      </c>
      <c r="C238" s="15">
        <v>2</v>
      </c>
      <c r="D238" s="8" t="s">
        <v>459</v>
      </c>
      <c r="E238" s="8" t="s">
        <v>11</v>
      </c>
      <c r="F238" s="24">
        <v>44</v>
      </c>
      <c r="G238" s="15">
        <v>1</v>
      </c>
      <c r="H238" s="15">
        <v>0</v>
      </c>
      <c r="I238" s="8" t="s">
        <v>460</v>
      </c>
      <c r="J238" s="20">
        <v>26</v>
      </c>
      <c r="K238" s="27" t="str">
        <f t="shared" si="21"/>
        <v>Died</v>
      </c>
      <c r="L238" s="27" t="str">
        <f t="shared" si="22"/>
        <v>Adult</v>
      </c>
      <c r="M238" s="28">
        <f t="shared" si="23"/>
        <v>2</v>
      </c>
      <c r="N238" s="27" t="str">
        <f t="shared" si="24"/>
        <v>Small Family</v>
      </c>
      <c r="O238" s="27" t="str">
        <f t="shared" si="25"/>
        <v>Medium Fare</v>
      </c>
      <c r="P238" s="27" t="str">
        <f t="shared" si="26"/>
        <v>Second Class</v>
      </c>
      <c r="Q238" s="27">
        <f t="shared" si="27"/>
        <v>1</v>
      </c>
    </row>
    <row r="239" spans="1:17" x14ac:dyDescent="0.3">
      <c r="A239" s="16">
        <v>238</v>
      </c>
      <c r="B239" s="16">
        <v>1</v>
      </c>
      <c r="C239" s="16">
        <v>2</v>
      </c>
      <c r="D239" s="11" t="s">
        <v>461</v>
      </c>
      <c r="E239" s="11" t="s">
        <v>14</v>
      </c>
      <c r="F239" s="25">
        <v>8</v>
      </c>
      <c r="G239" s="16">
        <v>0</v>
      </c>
      <c r="H239" s="16">
        <v>2</v>
      </c>
      <c r="I239" s="11" t="s">
        <v>462</v>
      </c>
      <c r="J239" s="21">
        <v>26.25</v>
      </c>
      <c r="K239" s="27" t="str">
        <f t="shared" si="21"/>
        <v>Survived</v>
      </c>
      <c r="L239" s="27" t="str">
        <f t="shared" si="22"/>
        <v>Child</v>
      </c>
      <c r="M239" s="28">
        <f t="shared" si="23"/>
        <v>3</v>
      </c>
      <c r="N239" s="27" t="str">
        <f t="shared" si="24"/>
        <v>Small Family</v>
      </c>
      <c r="O239" s="27" t="str">
        <f t="shared" si="25"/>
        <v>Medium Fare</v>
      </c>
      <c r="P239" s="27" t="str">
        <f t="shared" si="26"/>
        <v>Second Class</v>
      </c>
      <c r="Q239" s="27">
        <f t="shared" si="27"/>
        <v>2</v>
      </c>
    </row>
    <row r="240" spans="1:17" x14ac:dyDescent="0.3">
      <c r="A240" s="15">
        <v>239</v>
      </c>
      <c r="B240" s="15">
        <v>0</v>
      </c>
      <c r="C240" s="15">
        <v>2</v>
      </c>
      <c r="D240" s="8" t="s">
        <v>463</v>
      </c>
      <c r="E240" s="8" t="s">
        <v>11</v>
      </c>
      <c r="F240" s="24">
        <v>19</v>
      </c>
      <c r="G240" s="15">
        <v>0</v>
      </c>
      <c r="H240" s="15">
        <v>0</v>
      </c>
      <c r="I240" s="8" t="s">
        <v>464</v>
      </c>
      <c r="J240" s="20">
        <v>10.5</v>
      </c>
      <c r="K240" s="27" t="str">
        <f t="shared" si="21"/>
        <v>Died</v>
      </c>
      <c r="L240" s="27" t="str">
        <f t="shared" si="22"/>
        <v>Young Adult</v>
      </c>
      <c r="M240" s="28">
        <f t="shared" si="23"/>
        <v>1</v>
      </c>
      <c r="N240" s="27" t="str">
        <f t="shared" si="24"/>
        <v>Alone</v>
      </c>
      <c r="O240" s="27" t="str">
        <f t="shared" si="25"/>
        <v>Low Fare</v>
      </c>
      <c r="P240" s="27" t="str">
        <f t="shared" si="26"/>
        <v>Second Class</v>
      </c>
      <c r="Q240" s="27">
        <f t="shared" si="27"/>
        <v>1</v>
      </c>
    </row>
    <row r="241" spans="1:17" x14ac:dyDescent="0.3">
      <c r="A241" s="16">
        <v>240</v>
      </c>
      <c r="B241" s="16">
        <v>0</v>
      </c>
      <c r="C241" s="16">
        <v>2</v>
      </c>
      <c r="D241" s="11" t="s">
        <v>465</v>
      </c>
      <c r="E241" s="11" t="s">
        <v>11</v>
      </c>
      <c r="F241" s="25">
        <v>33</v>
      </c>
      <c r="G241" s="16">
        <v>0</v>
      </c>
      <c r="H241" s="16">
        <v>0</v>
      </c>
      <c r="I241" s="11" t="s">
        <v>466</v>
      </c>
      <c r="J241" s="21">
        <v>12.275</v>
      </c>
      <c r="K241" s="27" t="str">
        <f t="shared" si="21"/>
        <v>Died</v>
      </c>
      <c r="L241" s="27" t="str">
        <f t="shared" si="22"/>
        <v>Young Adult</v>
      </c>
      <c r="M241" s="28">
        <f t="shared" si="23"/>
        <v>1</v>
      </c>
      <c r="N241" s="27" t="str">
        <f t="shared" si="24"/>
        <v>Alone</v>
      </c>
      <c r="O241" s="27" t="str">
        <f t="shared" si="25"/>
        <v>Low Fare</v>
      </c>
      <c r="P241" s="27" t="str">
        <f t="shared" si="26"/>
        <v>Second Class</v>
      </c>
      <c r="Q241" s="27">
        <f t="shared" si="27"/>
        <v>1</v>
      </c>
    </row>
    <row r="242" spans="1:17" x14ac:dyDescent="0.3">
      <c r="A242" s="15">
        <v>241</v>
      </c>
      <c r="B242" s="15">
        <v>0</v>
      </c>
      <c r="C242" s="15">
        <v>3</v>
      </c>
      <c r="D242" s="8" t="s">
        <v>467</v>
      </c>
      <c r="E242" s="8" t="s">
        <v>14</v>
      </c>
      <c r="F242" s="24">
        <v>26</v>
      </c>
      <c r="G242" s="15">
        <v>1</v>
      </c>
      <c r="H242" s="15">
        <v>0</v>
      </c>
      <c r="I242" s="8" t="s">
        <v>232</v>
      </c>
      <c r="J242" s="20">
        <v>14.4542</v>
      </c>
      <c r="K242" s="27" t="str">
        <f t="shared" si="21"/>
        <v>Died</v>
      </c>
      <c r="L242" s="27" t="str">
        <f t="shared" si="22"/>
        <v>Young Adult</v>
      </c>
      <c r="M242" s="28">
        <f t="shared" si="23"/>
        <v>2</v>
      </c>
      <c r="N242" s="27" t="str">
        <f t="shared" si="24"/>
        <v>Small Family</v>
      </c>
      <c r="O242" s="27" t="str">
        <f t="shared" si="25"/>
        <v>Low Fare</v>
      </c>
      <c r="P242" s="27" t="str">
        <f t="shared" si="26"/>
        <v>Third Class</v>
      </c>
      <c r="Q242" s="27">
        <f t="shared" si="27"/>
        <v>2</v>
      </c>
    </row>
    <row r="243" spans="1:17" x14ac:dyDescent="0.3">
      <c r="A243" s="16">
        <v>242</v>
      </c>
      <c r="B243" s="16">
        <v>1</v>
      </c>
      <c r="C243" s="16">
        <v>3</v>
      </c>
      <c r="D243" s="11" t="s">
        <v>468</v>
      </c>
      <c r="E243" s="11" t="s">
        <v>14</v>
      </c>
      <c r="F243" s="25">
        <v>26</v>
      </c>
      <c r="G243" s="16">
        <v>1</v>
      </c>
      <c r="H243" s="16">
        <v>0</v>
      </c>
      <c r="I243" s="11" t="s">
        <v>469</v>
      </c>
      <c r="J243" s="21">
        <v>15.5</v>
      </c>
      <c r="K243" s="27" t="str">
        <f t="shared" si="21"/>
        <v>Survived</v>
      </c>
      <c r="L243" s="27" t="str">
        <f t="shared" si="22"/>
        <v>Young Adult</v>
      </c>
      <c r="M243" s="28">
        <f t="shared" si="23"/>
        <v>2</v>
      </c>
      <c r="N243" s="27" t="str">
        <f t="shared" si="24"/>
        <v>Small Family</v>
      </c>
      <c r="O243" s="27" t="str">
        <f t="shared" si="25"/>
        <v>Low Fare</v>
      </c>
      <c r="P243" s="27" t="str">
        <f t="shared" si="26"/>
        <v>Third Class</v>
      </c>
      <c r="Q243" s="27">
        <f t="shared" si="27"/>
        <v>2</v>
      </c>
    </row>
    <row r="244" spans="1:17" x14ac:dyDescent="0.3">
      <c r="A244" s="15">
        <v>243</v>
      </c>
      <c r="B244" s="15">
        <v>0</v>
      </c>
      <c r="C244" s="15">
        <v>2</v>
      </c>
      <c r="D244" s="8" t="s">
        <v>470</v>
      </c>
      <c r="E244" s="8" t="s">
        <v>11</v>
      </c>
      <c r="F244" s="24">
        <v>29</v>
      </c>
      <c r="G244" s="15">
        <v>0</v>
      </c>
      <c r="H244" s="15">
        <v>0</v>
      </c>
      <c r="I244" s="8" t="s">
        <v>471</v>
      </c>
      <c r="J244" s="20">
        <v>10.5</v>
      </c>
      <c r="K244" s="27" t="str">
        <f t="shared" si="21"/>
        <v>Died</v>
      </c>
      <c r="L244" s="27" t="str">
        <f t="shared" si="22"/>
        <v>Young Adult</v>
      </c>
      <c r="M244" s="28">
        <f t="shared" si="23"/>
        <v>1</v>
      </c>
      <c r="N244" s="27" t="str">
        <f t="shared" si="24"/>
        <v>Alone</v>
      </c>
      <c r="O244" s="27" t="str">
        <f t="shared" si="25"/>
        <v>Low Fare</v>
      </c>
      <c r="P244" s="27" t="str">
        <f t="shared" si="26"/>
        <v>Second Class</v>
      </c>
      <c r="Q244" s="27">
        <f t="shared" si="27"/>
        <v>1</v>
      </c>
    </row>
    <row r="245" spans="1:17" x14ac:dyDescent="0.3">
      <c r="A245" s="16">
        <v>244</v>
      </c>
      <c r="B245" s="16">
        <v>0</v>
      </c>
      <c r="C245" s="16">
        <v>3</v>
      </c>
      <c r="D245" s="11" t="s">
        <v>472</v>
      </c>
      <c r="E245" s="11" t="s">
        <v>11</v>
      </c>
      <c r="F245" s="25">
        <v>22</v>
      </c>
      <c r="G245" s="16">
        <v>0</v>
      </c>
      <c r="H245" s="16">
        <v>0</v>
      </c>
      <c r="I245" s="11" t="s">
        <v>473</v>
      </c>
      <c r="J245" s="21">
        <v>7.125</v>
      </c>
      <c r="K245" s="27" t="str">
        <f t="shared" si="21"/>
        <v>Died</v>
      </c>
      <c r="L245" s="27" t="str">
        <f t="shared" si="22"/>
        <v>Young Adult</v>
      </c>
      <c r="M245" s="28">
        <f t="shared" si="23"/>
        <v>1</v>
      </c>
      <c r="N245" s="27" t="str">
        <f t="shared" si="24"/>
        <v>Alone</v>
      </c>
      <c r="O245" s="27" t="str">
        <f t="shared" si="25"/>
        <v>Low Fare</v>
      </c>
      <c r="P245" s="27" t="str">
        <f t="shared" si="26"/>
        <v>Third Class</v>
      </c>
      <c r="Q245" s="27">
        <f t="shared" si="27"/>
        <v>1</v>
      </c>
    </row>
    <row r="246" spans="1:17" x14ac:dyDescent="0.3">
      <c r="A246" s="15">
        <v>245</v>
      </c>
      <c r="B246" s="15">
        <v>0</v>
      </c>
      <c r="C246" s="15">
        <v>3</v>
      </c>
      <c r="D246" s="8" t="s">
        <v>474</v>
      </c>
      <c r="E246" s="8" t="s">
        <v>11</v>
      </c>
      <c r="F246" s="24">
        <v>30</v>
      </c>
      <c r="G246" s="15">
        <v>0</v>
      </c>
      <c r="H246" s="15">
        <v>0</v>
      </c>
      <c r="I246" s="8" t="s">
        <v>475</v>
      </c>
      <c r="J246" s="20">
        <v>7.2249999999999996</v>
      </c>
      <c r="K246" s="27" t="str">
        <f t="shared" si="21"/>
        <v>Died</v>
      </c>
      <c r="L246" s="27" t="str">
        <f t="shared" si="22"/>
        <v>Young Adult</v>
      </c>
      <c r="M246" s="28">
        <f t="shared" si="23"/>
        <v>1</v>
      </c>
      <c r="N246" s="27" t="str">
        <f t="shared" si="24"/>
        <v>Alone</v>
      </c>
      <c r="O246" s="27" t="str">
        <f t="shared" si="25"/>
        <v>Low Fare</v>
      </c>
      <c r="P246" s="27" t="str">
        <f t="shared" si="26"/>
        <v>Third Class</v>
      </c>
      <c r="Q246" s="27">
        <f t="shared" si="27"/>
        <v>1</v>
      </c>
    </row>
    <row r="247" spans="1:17" x14ac:dyDescent="0.3">
      <c r="A247" s="16">
        <v>246</v>
      </c>
      <c r="B247" s="16">
        <v>0</v>
      </c>
      <c r="C247" s="16">
        <v>1</v>
      </c>
      <c r="D247" s="11" t="s">
        <v>476</v>
      </c>
      <c r="E247" s="11" t="s">
        <v>11</v>
      </c>
      <c r="F247" s="25">
        <v>44</v>
      </c>
      <c r="G247" s="16">
        <v>2</v>
      </c>
      <c r="H247" s="16">
        <v>0</v>
      </c>
      <c r="I247" s="11" t="s">
        <v>477</v>
      </c>
      <c r="J247" s="21">
        <v>90</v>
      </c>
      <c r="K247" s="27" t="str">
        <f t="shared" si="21"/>
        <v>Died</v>
      </c>
      <c r="L247" s="27" t="str">
        <f t="shared" si="22"/>
        <v>Adult</v>
      </c>
      <c r="M247" s="28">
        <f t="shared" si="23"/>
        <v>3</v>
      </c>
      <c r="N247" s="27" t="str">
        <f t="shared" si="24"/>
        <v>Small Family</v>
      </c>
      <c r="O247" s="27" t="str">
        <f t="shared" si="25"/>
        <v>Medium Fare</v>
      </c>
      <c r="P247" s="27" t="str">
        <f t="shared" si="26"/>
        <v>First Class</v>
      </c>
      <c r="Q247" s="27">
        <f t="shared" si="27"/>
        <v>1</v>
      </c>
    </row>
    <row r="248" spans="1:17" x14ac:dyDescent="0.3">
      <c r="A248" s="15">
        <v>247</v>
      </c>
      <c r="B248" s="15">
        <v>0</v>
      </c>
      <c r="C248" s="15">
        <v>3</v>
      </c>
      <c r="D248" s="8" t="s">
        <v>478</v>
      </c>
      <c r="E248" s="8" t="s">
        <v>14</v>
      </c>
      <c r="F248" s="24">
        <v>25</v>
      </c>
      <c r="G248" s="15">
        <v>0</v>
      </c>
      <c r="H248" s="15">
        <v>0</v>
      </c>
      <c r="I248" s="8" t="s">
        <v>479</v>
      </c>
      <c r="J248" s="20">
        <v>7.7750000000000004</v>
      </c>
      <c r="K248" s="27" t="str">
        <f t="shared" si="21"/>
        <v>Died</v>
      </c>
      <c r="L248" s="27" t="str">
        <f t="shared" si="22"/>
        <v>Young Adult</v>
      </c>
      <c r="M248" s="28">
        <f t="shared" si="23"/>
        <v>1</v>
      </c>
      <c r="N248" s="27" t="str">
        <f t="shared" si="24"/>
        <v>Alone</v>
      </c>
      <c r="O248" s="27" t="str">
        <f t="shared" si="25"/>
        <v>Low Fare</v>
      </c>
      <c r="P248" s="27" t="str">
        <f t="shared" si="26"/>
        <v>Third Class</v>
      </c>
      <c r="Q248" s="27">
        <f t="shared" si="27"/>
        <v>2</v>
      </c>
    </row>
    <row r="249" spans="1:17" x14ac:dyDescent="0.3">
      <c r="A249" s="16">
        <v>248</v>
      </c>
      <c r="B249" s="16">
        <v>1</v>
      </c>
      <c r="C249" s="16">
        <v>2</v>
      </c>
      <c r="D249" s="11" t="s">
        <v>480</v>
      </c>
      <c r="E249" s="11" t="s">
        <v>14</v>
      </c>
      <c r="F249" s="25">
        <v>24</v>
      </c>
      <c r="G249" s="16">
        <v>0</v>
      </c>
      <c r="H249" s="16">
        <v>2</v>
      </c>
      <c r="I249" s="11" t="s">
        <v>481</v>
      </c>
      <c r="J249" s="21">
        <v>14.5</v>
      </c>
      <c r="K249" s="27" t="str">
        <f t="shared" si="21"/>
        <v>Survived</v>
      </c>
      <c r="L249" s="27" t="str">
        <f t="shared" si="22"/>
        <v>Young Adult</v>
      </c>
      <c r="M249" s="28">
        <f t="shared" si="23"/>
        <v>3</v>
      </c>
      <c r="N249" s="27" t="str">
        <f t="shared" si="24"/>
        <v>Small Family</v>
      </c>
      <c r="O249" s="27" t="str">
        <f t="shared" si="25"/>
        <v>Low Fare</v>
      </c>
      <c r="P249" s="27" t="str">
        <f t="shared" si="26"/>
        <v>Second Class</v>
      </c>
      <c r="Q249" s="27">
        <f t="shared" si="27"/>
        <v>2</v>
      </c>
    </row>
    <row r="250" spans="1:17" x14ac:dyDescent="0.3">
      <c r="A250" s="15">
        <v>249</v>
      </c>
      <c r="B250" s="15">
        <v>1</v>
      </c>
      <c r="C250" s="15">
        <v>1</v>
      </c>
      <c r="D250" s="8" t="s">
        <v>482</v>
      </c>
      <c r="E250" s="8" t="s">
        <v>11</v>
      </c>
      <c r="F250" s="24">
        <v>37</v>
      </c>
      <c r="G250" s="15">
        <v>1</v>
      </c>
      <c r="H250" s="15">
        <v>1</v>
      </c>
      <c r="I250" s="8" t="s">
        <v>483</v>
      </c>
      <c r="J250" s="20">
        <v>52.554200000000002</v>
      </c>
      <c r="K250" s="27" t="str">
        <f t="shared" si="21"/>
        <v>Survived</v>
      </c>
      <c r="L250" s="27" t="str">
        <f t="shared" si="22"/>
        <v>Adult</v>
      </c>
      <c r="M250" s="28">
        <f t="shared" si="23"/>
        <v>3</v>
      </c>
      <c r="N250" s="27" t="str">
        <f t="shared" si="24"/>
        <v>Small Family</v>
      </c>
      <c r="O250" s="27" t="str">
        <f t="shared" si="25"/>
        <v>Medium Fare</v>
      </c>
      <c r="P250" s="27" t="str">
        <f t="shared" si="26"/>
        <v>First Class</v>
      </c>
      <c r="Q250" s="27">
        <f t="shared" si="27"/>
        <v>1</v>
      </c>
    </row>
    <row r="251" spans="1:17" x14ac:dyDescent="0.3">
      <c r="A251" s="16">
        <v>250</v>
      </c>
      <c r="B251" s="16">
        <v>0</v>
      </c>
      <c r="C251" s="16">
        <v>2</v>
      </c>
      <c r="D251" s="11" t="s">
        <v>484</v>
      </c>
      <c r="E251" s="11" t="s">
        <v>11</v>
      </c>
      <c r="F251" s="25">
        <v>54</v>
      </c>
      <c r="G251" s="16">
        <v>1</v>
      </c>
      <c r="H251" s="16">
        <v>0</v>
      </c>
      <c r="I251" s="11" t="s">
        <v>485</v>
      </c>
      <c r="J251" s="21">
        <v>26</v>
      </c>
      <c r="K251" s="27" t="str">
        <f t="shared" si="21"/>
        <v>Died</v>
      </c>
      <c r="L251" s="27" t="str">
        <f t="shared" si="22"/>
        <v>Adult</v>
      </c>
      <c r="M251" s="28">
        <f t="shared" si="23"/>
        <v>2</v>
      </c>
      <c r="N251" s="27" t="str">
        <f t="shared" si="24"/>
        <v>Small Family</v>
      </c>
      <c r="O251" s="27" t="str">
        <f t="shared" si="25"/>
        <v>Medium Fare</v>
      </c>
      <c r="P251" s="27" t="str">
        <f t="shared" si="26"/>
        <v>Second Class</v>
      </c>
      <c r="Q251" s="27">
        <f t="shared" si="27"/>
        <v>1</v>
      </c>
    </row>
    <row r="252" spans="1:17" x14ac:dyDescent="0.3">
      <c r="A252" s="15">
        <v>251</v>
      </c>
      <c r="B252" s="15">
        <v>0</v>
      </c>
      <c r="C252" s="15">
        <v>3</v>
      </c>
      <c r="D252" s="8" t="s">
        <v>486</v>
      </c>
      <c r="E252" s="8" t="s">
        <v>11</v>
      </c>
      <c r="F252" s="24">
        <v>26</v>
      </c>
      <c r="G252" s="15">
        <v>0</v>
      </c>
      <c r="H252" s="15">
        <v>0</v>
      </c>
      <c r="I252" s="8" t="s">
        <v>487</v>
      </c>
      <c r="J252" s="20">
        <v>7.25</v>
      </c>
      <c r="K252" s="27" t="str">
        <f t="shared" si="21"/>
        <v>Died</v>
      </c>
      <c r="L252" s="27" t="str">
        <f t="shared" si="22"/>
        <v>Young Adult</v>
      </c>
      <c r="M252" s="28">
        <f t="shared" si="23"/>
        <v>1</v>
      </c>
      <c r="N252" s="27" t="str">
        <f t="shared" si="24"/>
        <v>Alone</v>
      </c>
      <c r="O252" s="27" t="str">
        <f t="shared" si="25"/>
        <v>Low Fare</v>
      </c>
      <c r="P252" s="27" t="str">
        <f t="shared" si="26"/>
        <v>Third Class</v>
      </c>
      <c r="Q252" s="27">
        <f t="shared" si="27"/>
        <v>1</v>
      </c>
    </row>
    <row r="253" spans="1:17" x14ac:dyDescent="0.3">
      <c r="A253" s="16">
        <v>252</v>
      </c>
      <c r="B253" s="16">
        <v>0</v>
      </c>
      <c r="C253" s="16">
        <v>3</v>
      </c>
      <c r="D253" s="11" t="s">
        <v>488</v>
      </c>
      <c r="E253" s="11" t="s">
        <v>14</v>
      </c>
      <c r="F253" s="25">
        <v>29</v>
      </c>
      <c r="G253" s="16">
        <v>1</v>
      </c>
      <c r="H253" s="16">
        <v>1</v>
      </c>
      <c r="I253" s="11" t="s">
        <v>402</v>
      </c>
      <c r="J253" s="21">
        <v>10.4625</v>
      </c>
      <c r="K253" s="27" t="str">
        <f t="shared" si="21"/>
        <v>Died</v>
      </c>
      <c r="L253" s="27" t="str">
        <f t="shared" si="22"/>
        <v>Young Adult</v>
      </c>
      <c r="M253" s="28">
        <f t="shared" si="23"/>
        <v>3</v>
      </c>
      <c r="N253" s="27" t="str">
        <f t="shared" si="24"/>
        <v>Small Family</v>
      </c>
      <c r="O253" s="27" t="str">
        <f t="shared" si="25"/>
        <v>Low Fare</v>
      </c>
      <c r="P253" s="27" t="str">
        <f t="shared" si="26"/>
        <v>Third Class</v>
      </c>
      <c r="Q253" s="27">
        <f t="shared" si="27"/>
        <v>2</v>
      </c>
    </row>
    <row r="254" spans="1:17" x14ac:dyDescent="0.3">
      <c r="A254" s="15">
        <v>253</v>
      </c>
      <c r="B254" s="15">
        <v>0</v>
      </c>
      <c r="C254" s="15">
        <v>1</v>
      </c>
      <c r="D254" s="8" t="s">
        <v>489</v>
      </c>
      <c r="E254" s="8" t="s">
        <v>11</v>
      </c>
      <c r="F254" s="24">
        <v>62</v>
      </c>
      <c r="G254" s="15">
        <v>0</v>
      </c>
      <c r="H254" s="15">
        <v>0</v>
      </c>
      <c r="I254" s="8" t="s">
        <v>490</v>
      </c>
      <c r="J254" s="20">
        <v>26.55</v>
      </c>
      <c r="K254" s="27" t="str">
        <f t="shared" si="21"/>
        <v>Died</v>
      </c>
      <c r="L254" s="27" t="str">
        <f t="shared" si="22"/>
        <v>Senior</v>
      </c>
      <c r="M254" s="28">
        <f t="shared" si="23"/>
        <v>1</v>
      </c>
      <c r="N254" s="27" t="str">
        <f t="shared" si="24"/>
        <v>Alone</v>
      </c>
      <c r="O254" s="27" t="str">
        <f t="shared" si="25"/>
        <v>Medium Fare</v>
      </c>
      <c r="P254" s="27" t="str">
        <f t="shared" si="26"/>
        <v>First Class</v>
      </c>
      <c r="Q254" s="27">
        <f t="shared" si="27"/>
        <v>1</v>
      </c>
    </row>
    <row r="255" spans="1:17" x14ac:dyDescent="0.3">
      <c r="A255" s="16">
        <v>254</v>
      </c>
      <c r="B255" s="16">
        <v>0</v>
      </c>
      <c r="C255" s="16">
        <v>3</v>
      </c>
      <c r="D255" s="11" t="s">
        <v>491</v>
      </c>
      <c r="E255" s="11" t="s">
        <v>11</v>
      </c>
      <c r="F255" s="25">
        <v>30</v>
      </c>
      <c r="G255" s="16">
        <v>1</v>
      </c>
      <c r="H255" s="16">
        <v>0</v>
      </c>
      <c r="I255" s="11" t="s">
        <v>492</v>
      </c>
      <c r="J255" s="21">
        <v>16.100000000000001</v>
      </c>
      <c r="K255" s="27" t="str">
        <f t="shared" si="21"/>
        <v>Died</v>
      </c>
      <c r="L255" s="27" t="str">
        <f t="shared" si="22"/>
        <v>Young Adult</v>
      </c>
      <c r="M255" s="28">
        <f t="shared" si="23"/>
        <v>2</v>
      </c>
      <c r="N255" s="27" t="str">
        <f t="shared" si="24"/>
        <v>Small Family</v>
      </c>
      <c r="O255" s="27" t="str">
        <f t="shared" si="25"/>
        <v>Low Fare</v>
      </c>
      <c r="P255" s="27" t="str">
        <f t="shared" si="26"/>
        <v>Third Class</v>
      </c>
      <c r="Q255" s="27">
        <f t="shared" si="27"/>
        <v>1</v>
      </c>
    </row>
    <row r="256" spans="1:17" x14ac:dyDescent="0.3">
      <c r="A256" s="15">
        <v>255</v>
      </c>
      <c r="B256" s="15">
        <v>0</v>
      </c>
      <c r="C256" s="15">
        <v>3</v>
      </c>
      <c r="D256" s="8" t="s">
        <v>493</v>
      </c>
      <c r="E256" s="8" t="s">
        <v>14</v>
      </c>
      <c r="F256" s="24">
        <v>41</v>
      </c>
      <c r="G256" s="15">
        <v>0</v>
      </c>
      <c r="H256" s="15">
        <v>2</v>
      </c>
      <c r="I256" s="8" t="s">
        <v>494</v>
      </c>
      <c r="J256" s="20">
        <v>20.212499999999999</v>
      </c>
      <c r="K256" s="27" t="str">
        <f t="shared" si="21"/>
        <v>Died</v>
      </c>
      <c r="L256" s="27" t="str">
        <f t="shared" si="22"/>
        <v>Adult</v>
      </c>
      <c r="M256" s="28">
        <f t="shared" si="23"/>
        <v>3</v>
      </c>
      <c r="N256" s="27" t="str">
        <f t="shared" si="24"/>
        <v>Small Family</v>
      </c>
      <c r="O256" s="27" t="str">
        <f t="shared" si="25"/>
        <v>Low Fare</v>
      </c>
      <c r="P256" s="27" t="str">
        <f t="shared" si="26"/>
        <v>Third Class</v>
      </c>
      <c r="Q256" s="27">
        <f t="shared" si="27"/>
        <v>2</v>
      </c>
    </row>
    <row r="257" spans="1:17" x14ac:dyDescent="0.3">
      <c r="A257" s="16">
        <v>256</v>
      </c>
      <c r="B257" s="16">
        <v>1</v>
      </c>
      <c r="C257" s="16">
        <v>3</v>
      </c>
      <c r="D257" s="11" t="s">
        <v>495</v>
      </c>
      <c r="E257" s="11" t="s">
        <v>14</v>
      </c>
      <c r="F257" s="25">
        <v>29</v>
      </c>
      <c r="G257" s="16">
        <v>0</v>
      </c>
      <c r="H257" s="16">
        <v>2</v>
      </c>
      <c r="I257" s="11" t="s">
        <v>496</v>
      </c>
      <c r="J257" s="21">
        <v>15.245799999999999</v>
      </c>
      <c r="K257" s="27" t="str">
        <f t="shared" si="21"/>
        <v>Survived</v>
      </c>
      <c r="L257" s="27" t="str">
        <f t="shared" si="22"/>
        <v>Young Adult</v>
      </c>
      <c r="M257" s="28">
        <f t="shared" si="23"/>
        <v>3</v>
      </c>
      <c r="N257" s="27" t="str">
        <f t="shared" si="24"/>
        <v>Small Family</v>
      </c>
      <c r="O257" s="27" t="str">
        <f t="shared" si="25"/>
        <v>Low Fare</v>
      </c>
      <c r="P257" s="27" t="str">
        <f t="shared" si="26"/>
        <v>Third Class</v>
      </c>
      <c r="Q257" s="27">
        <f t="shared" si="27"/>
        <v>2</v>
      </c>
    </row>
    <row r="258" spans="1:17" x14ac:dyDescent="0.3">
      <c r="A258" s="15">
        <v>257</v>
      </c>
      <c r="B258" s="15">
        <v>1</v>
      </c>
      <c r="C258" s="15">
        <v>1</v>
      </c>
      <c r="D258" s="8" t="s">
        <v>497</v>
      </c>
      <c r="E258" s="8" t="s">
        <v>14</v>
      </c>
      <c r="F258" s="24">
        <v>26</v>
      </c>
      <c r="G258" s="15">
        <v>0</v>
      </c>
      <c r="H258" s="15">
        <v>0</v>
      </c>
      <c r="I258" s="8" t="s">
        <v>498</v>
      </c>
      <c r="J258" s="20">
        <v>79.2</v>
      </c>
      <c r="K258" s="27" t="str">
        <f t="shared" ref="K258:K321" si="28">IF(B258=1, "Survived", "Died")</f>
        <v>Survived</v>
      </c>
      <c r="L258" s="27" t="str">
        <f t="shared" ref="L258:L321" si="29">IF(F258&lt;18, "Child", IF(F258&lt;35, "Young Adult", IF(F258&lt;60, "Adult", "Senior")))</f>
        <v>Young Adult</v>
      </c>
      <c r="M258" s="28">
        <f t="shared" ref="M258:M321" si="30">G258+H258+1</f>
        <v>1</v>
      </c>
      <c r="N258" s="27" t="str">
        <f t="shared" ref="N258:N321" si="31">IF(M258=1,"Alone",IF(M258&lt;=4,"Small Family","Large Family"))</f>
        <v>Alone</v>
      </c>
      <c r="O258" s="27" t="str">
        <f t="shared" ref="O258:O321" si="32">IF(J258&lt;25, "Low Fare", IF(J258&lt;=100, "Medium Fare", "High Fare"))</f>
        <v>Medium Fare</v>
      </c>
      <c r="P258" s="27" t="str">
        <f t="shared" ref="P258:P321" si="33">IF(C258=1, "First Class", IF(C258=2, "Second Class", "Third Class"))</f>
        <v>First Class</v>
      </c>
      <c r="Q258" s="27">
        <f t="shared" ref="Q258:Q321" si="34">IF(E258="male", 1, 2)</f>
        <v>2</v>
      </c>
    </row>
    <row r="259" spans="1:17" x14ac:dyDescent="0.3">
      <c r="A259" s="16">
        <v>258</v>
      </c>
      <c r="B259" s="16">
        <v>1</v>
      </c>
      <c r="C259" s="16">
        <v>1</v>
      </c>
      <c r="D259" s="11" t="s">
        <v>499</v>
      </c>
      <c r="E259" s="11" t="s">
        <v>14</v>
      </c>
      <c r="F259" s="25">
        <v>30</v>
      </c>
      <c r="G259" s="16">
        <v>0</v>
      </c>
      <c r="H259" s="16">
        <v>0</v>
      </c>
      <c r="I259" s="11" t="s">
        <v>500</v>
      </c>
      <c r="J259" s="21">
        <v>86.5</v>
      </c>
      <c r="K259" s="27" t="str">
        <f t="shared" si="28"/>
        <v>Survived</v>
      </c>
      <c r="L259" s="27" t="str">
        <f t="shared" si="29"/>
        <v>Young Adult</v>
      </c>
      <c r="M259" s="28">
        <f t="shared" si="30"/>
        <v>1</v>
      </c>
      <c r="N259" s="27" t="str">
        <f t="shared" si="31"/>
        <v>Alone</v>
      </c>
      <c r="O259" s="27" t="str">
        <f t="shared" si="32"/>
        <v>Medium Fare</v>
      </c>
      <c r="P259" s="27" t="str">
        <f t="shared" si="33"/>
        <v>First Class</v>
      </c>
      <c r="Q259" s="27">
        <f t="shared" si="34"/>
        <v>2</v>
      </c>
    </row>
    <row r="260" spans="1:17" x14ac:dyDescent="0.3">
      <c r="A260" s="15">
        <v>259</v>
      </c>
      <c r="B260" s="15">
        <v>1</v>
      </c>
      <c r="C260" s="15">
        <v>1</v>
      </c>
      <c r="D260" s="8" t="s">
        <v>501</v>
      </c>
      <c r="E260" s="8" t="s">
        <v>14</v>
      </c>
      <c r="F260" s="24">
        <v>35</v>
      </c>
      <c r="G260" s="15">
        <v>0</v>
      </c>
      <c r="H260" s="15">
        <v>0</v>
      </c>
      <c r="I260" s="8" t="s">
        <v>502</v>
      </c>
      <c r="J260" s="20">
        <v>512.32920000000001</v>
      </c>
      <c r="K260" s="27" t="str">
        <f t="shared" si="28"/>
        <v>Survived</v>
      </c>
      <c r="L260" s="27" t="str">
        <f t="shared" si="29"/>
        <v>Adult</v>
      </c>
      <c r="M260" s="28">
        <f t="shared" si="30"/>
        <v>1</v>
      </c>
      <c r="N260" s="27" t="str">
        <f t="shared" si="31"/>
        <v>Alone</v>
      </c>
      <c r="O260" s="27" t="str">
        <f t="shared" si="32"/>
        <v>High Fare</v>
      </c>
      <c r="P260" s="27" t="str">
        <f t="shared" si="33"/>
        <v>First Class</v>
      </c>
      <c r="Q260" s="27">
        <f t="shared" si="34"/>
        <v>2</v>
      </c>
    </row>
    <row r="261" spans="1:17" x14ac:dyDescent="0.3">
      <c r="A261" s="16">
        <v>260</v>
      </c>
      <c r="B261" s="16">
        <v>1</v>
      </c>
      <c r="C261" s="16">
        <v>2</v>
      </c>
      <c r="D261" s="11" t="s">
        <v>503</v>
      </c>
      <c r="E261" s="11" t="s">
        <v>14</v>
      </c>
      <c r="F261" s="25">
        <v>50</v>
      </c>
      <c r="G261" s="16">
        <v>0</v>
      </c>
      <c r="H261" s="16">
        <v>1</v>
      </c>
      <c r="I261" s="11" t="s">
        <v>504</v>
      </c>
      <c r="J261" s="21">
        <v>26</v>
      </c>
      <c r="K261" s="27" t="str">
        <f t="shared" si="28"/>
        <v>Survived</v>
      </c>
      <c r="L261" s="27" t="str">
        <f t="shared" si="29"/>
        <v>Adult</v>
      </c>
      <c r="M261" s="28">
        <f t="shared" si="30"/>
        <v>2</v>
      </c>
      <c r="N261" s="27" t="str">
        <f t="shared" si="31"/>
        <v>Small Family</v>
      </c>
      <c r="O261" s="27" t="str">
        <f t="shared" si="32"/>
        <v>Medium Fare</v>
      </c>
      <c r="P261" s="27" t="str">
        <f t="shared" si="33"/>
        <v>Second Class</v>
      </c>
      <c r="Q261" s="27">
        <f t="shared" si="34"/>
        <v>2</v>
      </c>
    </row>
    <row r="262" spans="1:17" x14ac:dyDescent="0.3">
      <c r="A262" s="15">
        <v>261</v>
      </c>
      <c r="B262" s="15">
        <v>0</v>
      </c>
      <c r="C262" s="15">
        <v>3</v>
      </c>
      <c r="D262" s="8" t="s">
        <v>505</v>
      </c>
      <c r="E262" s="8" t="s">
        <v>11</v>
      </c>
      <c r="F262" s="24">
        <v>26</v>
      </c>
      <c r="G262" s="15">
        <v>0</v>
      </c>
      <c r="H262" s="15">
        <v>0</v>
      </c>
      <c r="I262" s="8" t="s">
        <v>506</v>
      </c>
      <c r="J262" s="20">
        <v>7.75</v>
      </c>
      <c r="K262" s="27" t="str">
        <f t="shared" si="28"/>
        <v>Died</v>
      </c>
      <c r="L262" s="27" t="str">
        <f t="shared" si="29"/>
        <v>Young Adult</v>
      </c>
      <c r="M262" s="28">
        <f t="shared" si="30"/>
        <v>1</v>
      </c>
      <c r="N262" s="27" t="str">
        <f t="shared" si="31"/>
        <v>Alone</v>
      </c>
      <c r="O262" s="27" t="str">
        <f t="shared" si="32"/>
        <v>Low Fare</v>
      </c>
      <c r="P262" s="27" t="str">
        <f t="shared" si="33"/>
        <v>Third Class</v>
      </c>
      <c r="Q262" s="27">
        <f t="shared" si="34"/>
        <v>1</v>
      </c>
    </row>
    <row r="263" spans="1:17" x14ac:dyDescent="0.3">
      <c r="A263" s="16">
        <v>262</v>
      </c>
      <c r="B263" s="16">
        <v>1</v>
      </c>
      <c r="C263" s="16">
        <v>3</v>
      </c>
      <c r="D263" s="11" t="s">
        <v>507</v>
      </c>
      <c r="E263" s="11" t="s">
        <v>11</v>
      </c>
      <c r="F263" s="25">
        <v>3</v>
      </c>
      <c r="G263" s="16">
        <v>4</v>
      </c>
      <c r="H263" s="16">
        <v>2</v>
      </c>
      <c r="I263" s="11" t="s">
        <v>62</v>
      </c>
      <c r="J263" s="21">
        <v>31.387499999999999</v>
      </c>
      <c r="K263" s="27" t="str">
        <f t="shared" si="28"/>
        <v>Survived</v>
      </c>
      <c r="L263" s="27" t="str">
        <f t="shared" si="29"/>
        <v>Child</v>
      </c>
      <c r="M263" s="28">
        <f t="shared" si="30"/>
        <v>7</v>
      </c>
      <c r="N263" s="27" t="str">
        <f t="shared" si="31"/>
        <v>Large Family</v>
      </c>
      <c r="O263" s="27" t="str">
        <f t="shared" si="32"/>
        <v>Medium Fare</v>
      </c>
      <c r="P263" s="27" t="str">
        <f t="shared" si="33"/>
        <v>Third Class</v>
      </c>
      <c r="Q263" s="27">
        <f t="shared" si="34"/>
        <v>1</v>
      </c>
    </row>
    <row r="264" spans="1:17" x14ac:dyDescent="0.3">
      <c r="A264" s="15">
        <v>263</v>
      </c>
      <c r="B264" s="15">
        <v>0</v>
      </c>
      <c r="C264" s="15">
        <v>1</v>
      </c>
      <c r="D264" s="8" t="s">
        <v>508</v>
      </c>
      <c r="E264" s="8" t="s">
        <v>11</v>
      </c>
      <c r="F264" s="24">
        <v>52</v>
      </c>
      <c r="G264" s="15">
        <v>1</v>
      </c>
      <c r="H264" s="15">
        <v>1</v>
      </c>
      <c r="I264" s="8" t="s">
        <v>509</v>
      </c>
      <c r="J264" s="20">
        <v>79.650000000000006</v>
      </c>
      <c r="K264" s="27" t="str">
        <f t="shared" si="28"/>
        <v>Died</v>
      </c>
      <c r="L264" s="27" t="str">
        <f t="shared" si="29"/>
        <v>Adult</v>
      </c>
      <c r="M264" s="28">
        <f t="shared" si="30"/>
        <v>3</v>
      </c>
      <c r="N264" s="27" t="str">
        <f t="shared" si="31"/>
        <v>Small Family</v>
      </c>
      <c r="O264" s="27" t="str">
        <f t="shared" si="32"/>
        <v>Medium Fare</v>
      </c>
      <c r="P264" s="27" t="str">
        <f t="shared" si="33"/>
        <v>First Class</v>
      </c>
      <c r="Q264" s="27">
        <f t="shared" si="34"/>
        <v>1</v>
      </c>
    </row>
    <row r="265" spans="1:17" x14ac:dyDescent="0.3">
      <c r="A265" s="16">
        <v>264</v>
      </c>
      <c r="B265" s="16">
        <v>0</v>
      </c>
      <c r="C265" s="16">
        <v>1</v>
      </c>
      <c r="D265" s="11" t="s">
        <v>510</v>
      </c>
      <c r="E265" s="11" t="s">
        <v>11</v>
      </c>
      <c r="F265" s="25">
        <v>40</v>
      </c>
      <c r="G265" s="16">
        <v>0</v>
      </c>
      <c r="H265" s="16">
        <v>0</v>
      </c>
      <c r="I265" s="11" t="s">
        <v>511</v>
      </c>
      <c r="J265" s="21">
        <v>0</v>
      </c>
      <c r="K265" s="27" t="str">
        <f t="shared" si="28"/>
        <v>Died</v>
      </c>
      <c r="L265" s="27" t="str">
        <f t="shared" si="29"/>
        <v>Adult</v>
      </c>
      <c r="M265" s="28">
        <f t="shared" si="30"/>
        <v>1</v>
      </c>
      <c r="N265" s="27" t="str">
        <f t="shared" si="31"/>
        <v>Alone</v>
      </c>
      <c r="O265" s="27" t="str">
        <f t="shared" si="32"/>
        <v>Low Fare</v>
      </c>
      <c r="P265" s="27" t="str">
        <f t="shared" si="33"/>
        <v>First Class</v>
      </c>
      <c r="Q265" s="27">
        <f t="shared" si="34"/>
        <v>1</v>
      </c>
    </row>
    <row r="266" spans="1:17" x14ac:dyDescent="0.3">
      <c r="A266" s="15">
        <v>265</v>
      </c>
      <c r="B266" s="15">
        <v>0</v>
      </c>
      <c r="C266" s="15">
        <v>3</v>
      </c>
      <c r="D266" s="8" t="s">
        <v>512</v>
      </c>
      <c r="E266" s="8" t="s">
        <v>14</v>
      </c>
      <c r="F266" s="24">
        <v>26</v>
      </c>
      <c r="G266" s="15">
        <v>0</v>
      </c>
      <c r="H266" s="15">
        <v>0</v>
      </c>
      <c r="I266" s="8" t="s">
        <v>513</v>
      </c>
      <c r="J266" s="20">
        <v>7.75</v>
      </c>
      <c r="K266" s="27" t="str">
        <f t="shared" si="28"/>
        <v>Died</v>
      </c>
      <c r="L266" s="27" t="str">
        <f t="shared" si="29"/>
        <v>Young Adult</v>
      </c>
      <c r="M266" s="28">
        <f t="shared" si="30"/>
        <v>1</v>
      </c>
      <c r="N266" s="27" t="str">
        <f t="shared" si="31"/>
        <v>Alone</v>
      </c>
      <c r="O266" s="27" t="str">
        <f t="shared" si="32"/>
        <v>Low Fare</v>
      </c>
      <c r="P266" s="27" t="str">
        <f t="shared" si="33"/>
        <v>Third Class</v>
      </c>
      <c r="Q266" s="27">
        <f t="shared" si="34"/>
        <v>2</v>
      </c>
    </row>
    <row r="267" spans="1:17" x14ac:dyDescent="0.3">
      <c r="A267" s="16">
        <v>266</v>
      </c>
      <c r="B267" s="16">
        <v>0</v>
      </c>
      <c r="C267" s="16">
        <v>2</v>
      </c>
      <c r="D267" s="11" t="s">
        <v>514</v>
      </c>
      <c r="E267" s="11" t="s">
        <v>11</v>
      </c>
      <c r="F267" s="25">
        <v>36</v>
      </c>
      <c r="G267" s="16">
        <v>0</v>
      </c>
      <c r="H267" s="16">
        <v>0</v>
      </c>
      <c r="I267" s="11" t="s">
        <v>515</v>
      </c>
      <c r="J267" s="21">
        <v>10.5</v>
      </c>
      <c r="K267" s="27" t="str">
        <f t="shared" si="28"/>
        <v>Died</v>
      </c>
      <c r="L267" s="27" t="str">
        <f t="shared" si="29"/>
        <v>Adult</v>
      </c>
      <c r="M267" s="28">
        <f t="shared" si="30"/>
        <v>1</v>
      </c>
      <c r="N267" s="27" t="str">
        <f t="shared" si="31"/>
        <v>Alone</v>
      </c>
      <c r="O267" s="27" t="str">
        <f t="shared" si="32"/>
        <v>Low Fare</v>
      </c>
      <c r="P267" s="27" t="str">
        <f t="shared" si="33"/>
        <v>Second Class</v>
      </c>
      <c r="Q267" s="27">
        <f t="shared" si="34"/>
        <v>1</v>
      </c>
    </row>
    <row r="268" spans="1:17" x14ac:dyDescent="0.3">
      <c r="A268" s="15">
        <v>267</v>
      </c>
      <c r="B268" s="15">
        <v>0</v>
      </c>
      <c r="C268" s="15">
        <v>3</v>
      </c>
      <c r="D268" s="8" t="s">
        <v>516</v>
      </c>
      <c r="E268" s="8" t="s">
        <v>11</v>
      </c>
      <c r="F268" s="24">
        <v>16</v>
      </c>
      <c r="G268" s="15">
        <v>4</v>
      </c>
      <c r="H268" s="15">
        <v>1</v>
      </c>
      <c r="I268" s="8" t="s">
        <v>112</v>
      </c>
      <c r="J268" s="20">
        <v>39.6875</v>
      </c>
      <c r="K268" s="27" t="str">
        <f t="shared" si="28"/>
        <v>Died</v>
      </c>
      <c r="L268" s="27" t="str">
        <f t="shared" si="29"/>
        <v>Child</v>
      </c>
      <c r="M268" s="28">
        <f t="shared" si="30"/>
        <v>6</v>
      </c>
      <c r="N268" s="27" t="str">
        <f t="shared" si="31"/>
        <v>Large Family</v>
      </c>
      <c r="O268" s="27" t="str">
        <f t="shared" si="32"/>
        <v>Medium Fare</v>
      </c>
      <c r="P268" s="27" t="str">
        <f t="shared" si="33"/>
        <v>Third Class</v>
      </c>
      <c r="Q268" s="27">
        <f t="shared" si="34"/>
        <v>1</v>
      </c>
    </row>
    <row r="269" spans="1:17" x14ac:dyDescent="0.3">
      <c r="A269" s="16">
        <v>268</v>
      </c>
      <c r="B269" s="16">
        <v>1</v>
      </c>
      <c r="C269" s="16">
        <v>3</v>
      </c>
      <c r="D269" s="11" t="s">
        <v>517</v>
      </c>
      <c r="E269" s="11" t="s">
        <v>11</v>
      </c>
      <c r="F269" s="25">
        <v>25</v>
      </c>
      <c r="G269" s="16">
        <v>1</v>
      </c>
      <c r="H269" s="16">
        <v>0</v>
      </c>
      <c r="I269" s="11" t="s">
        <v>518</v>
      </c>
      <c r="J269" s="21">
        <v>7.7750000000000004</v>
      </c>
      <c r="K269" s="27" t="str">
        <f t="shared" si="28"/>
        <v>Survived</v>
      </c>
      <c r="L269" s="27" t="str">
        <f t="shared" si="29"/>
        <v>Young Adult</v>
      </c>
      <c r="M269" s="28">
        <f t="shared" si="30"/>
        <v>2</v>
      </c>
      <c r="N269" s="27" t="str">
        <f t="shared" si="31"/>
        <v>Small Family</v>
      </c>
      <c r="O269" s="27" t="str">
        <f t="shared" si="32"/>
        <v>Low Fare</v>
      </c>
      <c r="P269" s="27" t="str">
        <f t="shared" si="33"/>
        <v>Third Class</v>
      </c>
      <c r="Q269" s="27">
        <f t="shared" si="34"/>
        <v>1</v>
      </c>
    </row>
    <row r="270" spans="1:17" x14ac:dyDescent="0.3">
      <c r="A270" s="15">
        <v>269</v>
      </c>
      <c r="B270" s="15">
        <v>1</v>
      </c>
      <c r="C270" s="15">
        <v>1</v>
      </c>
      <c r="D270" s="8" t="s">
        <v>519</v>
      </c>
      <c r="E270" s="8" t="s">
        <v>14</v>
      </c>
      <c r="F270" s="24">
        <v>58</v>
      </c>
      <c r="G270" s="15">
        <v>0</v>
      </c>
      <c r="H270" s="15">
        <v>1</v>
      </c>
      <c r="I270" s="8" t="s">
        <v>520</v>
      </c>
      <c r="J270" s="20">
        <v>153.46250000000001</v>
      </c>
      <c r="K270" s="27" t="str">
        <f t="shared" si="28"/>
        <v>Survived</v>
      </c>
      <c r="L270" s="27" t="str">
        <f t="shared" si="29"/>
        <v>Adult</v>
      </c>
      <c r="M270" s="28">
        <f t="shared" si="30"/>
        <v>2</v>
      </c>
      <c r="N270" s="27" t="str">
        <f t="shared" si="31"/>
        <v>Small Family</v>
      </c>
      <c r="O270" s="27" t="str">
        <f t="shared" si="32"/>
        <v>High Fare</v>
      </c>
      <c r="P270" s="27" t="str">
        <f t="shared" si="33"/>
        <v>First Class</v>
      </c>
      <c r="Q270" s="27">
        <f t="shared" si="34"/>
        <v>2</v>
      </c>
    </row>
    <row r="271" spans="1:17" x14ac:dyDescent="0.3">
      <c r="A271" s="16">
        <v>270</v>
      </c>
      <c r="B271" s="16">
        <v>1</v>
      </c>
      <c r="C271" s="16">
        <v>1</v>
      </c>
      <c r="D271" s="11" t="s">
        <v>521</v>
      </c>
      <c r="E271" s="11" t="s">
        <v>14</v>
      </c>
      <c r="F271" s="25">
        <v>35</v>
      </c>
      <c r="G271" s="16">
        <v>0</v>
      </c>
      <c r="H271" s="16">
        <v>0</v>
      </c>
      <c r="I271" s="11" t="s">
        <v>522</v>
      </c>
      <c r="J271" s="21">
        <v>135.63329999999999</v>
      </c>
      <c r="K271" s="27" t="str">
        <f t="shared" si="28"/>
        <v>Survived</v>
      </c>
      <c r="L271" s="27" t="str">
        <f t="shared" si="29"/>
        <v>Adult</v>
      </c>
      <c r="M271" s="28">
        <f t="shared" si="30"/>
        <v>1</v>
      </c>
      <c r="N271" s="27" t="str">
        <f t="shared" si="31"/>
        <v>Alone</v>
      </c>
      <c r="O271" s="27" t="str">
        <f t="shared" si="32"/>
        <v>High Fare</v>
      </c>
      <c r="P271" s="27" t="str">
        <f t="shared" si="33"/>
        <v>First Class</v>
      </c>
      <c r="Q271" s="27">
        <f t="shared" si="34"/>
        <v>2</v>
      </c>
    </row>
    <row r="272" spans="1:17" x14ac:dyDescent="0.3">
      <c r="A272" s="15">
        <v>271</v>
      </c>
      <c r="B272" s="15">
        <v>0</v>
      </c>
      <c r="C272" s="15">
        <v>1</v>
      </c>
      <c r="D272" s="8" t="s">
        <v>523</v>
      </c>
      <c r="E272" s="8" t="s">
        <v>11</v>
      </c>
      <c r="F272" s="24">
        <v>26</v>
      </c>
      <c r="G272" s="15">
        <v>0</v>
      </c>
      <c r="H272" s="15">
        <v>0</v>
      </c>
      <c r="I272" s="8" t="s">
        <v>524</v>
      </c>
      <c r="J272" s="20">
        <v>31</v>
      </c>
      <c r="K272" s="27" t="str">
        <f t="shared" si="28"/>
        <v>Died</v>
      </c>
      <c r="L272" s="27" t="str">
        <f t="shared" si="29"/>
        <v>Young Adult</v>
      </c>
      <c r="M272" s="28">
        <f t="shared" si="30"/>
        <v>1</v>
      </c>
      <c r="N272" s="27" t="str">
        <f t="shared" si="31"/>
        <v>Alone</v>
      </c>
      <c r="O272" s="27" t="str">
        <f t="shared" si="32"/>
        <v>Medium Fare</v>
      </c>
      <c r="P272" s="27" t="str">
        <f t="shared" si="33"/>
        <v>First Class</v>
      </c>
      <c r="Q272" s="27">
        <f t="shared" si="34"/>
        <v>1</v>
      </c>
    </row>
    <row r="273" spans="1:17" x14ac:dyDescent="0.3">
      <c r="A273" s="16">
        <v>272</v>
      </c>
      <c r="B273" s="16">
        <v>1</v>
      </c>
      <c r="C273" s="16">
        <v>3</v>
      </c>
      <c r="D273" s="11" t="s">
        <v>525</v>
      </c>
      <c r="E273" s="11" t="s">
        <v>11</v>
      </c>
      <c r="F273" s="25">
        <v>25</v>
      </c>
      <c r="G273" s="16">
        <v>0</v>
      </c>
      <c r="H273" s="16">
        <v>0</v>
      </c>
      <c r="I273" s="11" t="s">
        <v>355</v>
      </c>
      <c r="J273" s="21">
        <v>0</v>
      </c>
      <c r="K273" s="27" t="str">
        <f t="shared" si="28"/>
        <v>Survived</v>
      </c>
      <c r="L273" s="27" t="str">
        <f t="shared" si="29"/>
        <v>Young Adult</v>
      </c>
      <c r="M273" s="28">
        <f t="shared" si="30"/>
        <v>1</v>
      </c>
      <c r="N273" s="27" t="str">
        <f t="shared" si="31"/>
        <v>Alone</v>
      </c>
      <c r="O273" s="27" t="str">
        <f t="shared" si="32"/>
        <v>Low Fare</v>
      </c>
      <c r="P273" s="27" t="str">
        <f t="shared" si="33"/>
        <v>Third Class</v>
      </c>
      <c r="Q273" s="27">
        <f t="shared" si="34"/>
        <v>1</v>
      </c>
    </row>
    <row r="274" spans="1:17" x14ac:dyDescent="0.3">
      <c r="A274" s="15">
        <v>273</v>
      </c>
      <c r="B274" s="15">
        <v>1</v>
      </c>
      <c r="C274" s="15">
        <v>2</v>
      </c>
      <c r="D274" s="8" t="s">
        <v>526</v>
      </c>
      <c r="E274" s="8" t="s">
        <v>14</v>
      </c>
      <c r="F274" s="24">
        <v>41</v>
      </c>
      <c r="G274" s="15">
        <v>0</v>
      </c>
      <c r="H274" s="15">
        <v>1</v>
      </c>
      <c r="I274" s="8" t="s">
        <v>527</v>
      </c>
      <c r="J274" s="20">
        <v>19.5</v>
      </c>
      <c r="K274" s="27" t="str">
        <f t="shared" si="28"/>
        <v>Survived</v>
      </c>
      <c r="L274" s="27" t="str">
        <f t="shared" si="29"/>
        <v>Adult</v>
      </c>
      <c r="M274" s="28">
        <f t="shared" si="30"/>
        <v>2</v>
      </c>
      <c r="N274" s="27" t="str">
        <f t="shared" si="31"/>
        <v>Small Family</v>
      </c>
      <c r="O274" s="27" t="str">
        <f t="shared" si="32"/>
        <v>Low Fare</v>
      </c>
      <c r="P274" s="27" t="str">
        <f t="shared" si="33"/>
        <v>Second Class</v>
      </c>
      <c r="Q274" s="27">
        <f t="shared" si="34"/>
        <v>2</v>
      </c>
    </row>
    <row r="275" spans="1:17" x14ac:dyDescent="0.3">
      <c r="A275" s="16">
        <v>274</v>
      </c>
      <c r="B275" s="16">
        <v>0</v>
      </c>
      <c r="C275" s="16">
        <v>1</v>
      </c>
      <c r="D275" s="11" t="s">
        <v>528</v>
      </c>
      <c r="E275" s="11" t="s">
        <v>11</v>
      </c>
      <c r="F275" s="25">
        <v>37</v>
      </c>
      <c r="G275" s="16">
        <v>0</v>
      </c>
      <c r="H275" s="16">
        <v>1</v>
      </c>
      <c r="I275" s="11" t="s">
        <v>529</v>
      </c>
      <c r="J275" s="21">
        <v>29.7</v>
      </c>
      <c r="K275" s="27" t="str">
        <f t="shared" si="28"/>
        <v>Died</v>
      </c>
      <c r="L275" s="27" t="str">
        <f t="shared" si="29"/>
        <v>Adult</v>
      </c>
      <c r="M275" s="28">
        <f t="shared" si="30"/>
        <v>2</v>
      </c>
      <c r="N275" s="27" t="str">
        <f t="shared" si="31"/>
        <v>Small Family</v>
      </c>
      <c r="O275" s="27" t="str">
        <f t="shared" si="32"/>
        <v>Medium Fare</v>
      </c>
      <c r="P275" s="27" t="str">
        <f t="shared" si="33"/>
        <v>First Class</v>
      </c>
      <c r="Q275" s="27">
        <f t="shared" si="34"/>
        <v>1</v>
      </c>
    </row>
    <row r="276" spans="1:17" x14ac:dyDescent="0.3">
      <c r="A276" s="15">
        <v>275</v>
      </c>
      <c r="B276" s="15">
        <v>1</v>
      </c>
      <c r="C276" s="15">
        <v>3</v>
      </c>
      <c r="D276" s="8" t="s">
        <v>530</v>
      </c>
      <c r="E276" s="8" t="s">
        <v>14</v>
      </c>
      <c r="F276" s="24">
        <v>26</v>
      </c>
      <c r="G276" s="15">
        <v>0</v>
      </c>
      <c r="H276" s="15">
        <v>0</v>
      </c>
      <c r="I276" s="8" t="s">
        <v>531</v>
      </c>
      <c r="J276" s="20">
        <v>7.75</v>
      </c>
      <c r="K276" s="27" t="str">
        <f t="shared" si="28"/>
        <v>Survived</v>
      </c>
      <c r="L276" s="27" t="str">
        <f t="shared" si="29"/>
        <v>Young Adult</v>
      </c>
      <c r="M276" s="28">
        <f t="shared" si="30"/>
        <v>1</v>
      </c>
      <c r="N276" s="27" t="str">
        <f t="shared" si="31"/>
        <v>Alone</v>
      </c>
      <c r="O276" s="27" t="str">
        <f t="shared" si="32"/>
        <v>Low Fare</v>
      </c>
      <c r="P276" s="27" t="str">
        <f t="shared" si="33"/>
        <v>Third Class</v>
      </c>
      <c r="Q276" s="27">
        <f t="shared" si="34"/>
        <v>2</v>
      </c>
    </row>
    <row r="277" spans="1:17" x14ac:dyDescent="0.3">
      <c r="A277" s="16">
        <v>276</v>
      </c>
      <c r="B277" s="16">
        <v>1</v>
      </c>
      <c r="C277" s="16">
        <v>1</v>
      </c>
      <c r="D277" s="11" t="s">
        <v>532</v>
      </c>
      <c r="E277" s="11" t="s">
        <v>14</v>
      </c>
      <c r="F277" s="25">
        <v>63</v>
      </c>
      <c r="G277" s="16">
        <v>1</v>
      </c>
      <c r="H277" s="16">
        <v>0</v>
      </c>
      <c r="I277" s="11" t="s">
        <v>533</v>
      </c>
      <c r="J277" s="21">
        <v>77.958299999999994</v>
      </c>
      <c r="K277" s="27" t="str">
        <f t="shared" si="28"/>
        <v>Survived</v>
      </c>
      <c r="L277" s="27" t="str">
        <f t="shared" si="29"/>
        <v>Senior</v>
      </c>
      <c r="M277" s="28">
        <f t="shared" si="30"/>
        <v>2</v>
      </c>
      <c r="N277" s="27" t="str">
        <f t="shared" si="31"/>
        <v>Small Family</v>
      </c>
      <c r="O277" s="27" t="str">
        <f t="shared" si="32"/>
        <v>Medium Fare</v>
      </c>
      <c r="P277" s="27" t="str">
        <f t="shared" si="33"/>
        <v>First Class</v>
      </c>
      <c r="Q277" s="27">
        <f t="shared" si="34"/>
        <v>2</v>
      </c>
    </row>
    <row r="278" spans="1:17" x14ac:dyDescent="0.3">
      <c r="A278" s="15">
        <v>277</v>
      </c>
      <c r="B278" s="15">
        <v>0</v>
      </c>
      <c r="C278" s="15">
        <v>3</v>
      </c>
      <c r="D278" s="8" t="s">
        <v>534</v>
      </c>
      <c r="E278" s="8" t="s">
        <v>14</v>
      </c>
      <c r="F278" s="24">
        <v>45</v>
      </c>
      <c r="G278" s="15">
        <v>0</v>
      </c>
      <c r="H278" s="15">
        <v>0</v>
      </c>
      <c r="I278" s="8" t="s">
        <v>535</v>
      </c>
      <c r="J278" s="20">
        <v>7.75</v>
      </c>
      <c r="K278" s="27" t="str">
        <f t="shared" si="28"/>
        <v>Died</v>
      </c>
      <c r="L278" s="27" t="str">
        <f t="shared" si="29"/>
        <v>Adult</v>
      </c>
      <c r="M278" s="28">
        <f t="shared" si="30"/>
        <v>1</v>
      </c>
      <c r="N278" s="27" t="str">
        <f t="shared" si="31"/>
        <v>Alone</v>
      </c>
      <c r="O278" s="27" t="str">
        <f t="shared" si="32"/>
        <v>Low Fare</v>
      </c>
      <c r="P278" s="27" t="str">
        <f t="shared" si="33"/>
        <v>Third Class</v>
      </c>
      <c r="Q278" s="27">
        <f t="shared" si="34"/>
        <v>2</v>
      </c>
    </row>
    <row r="279" spans="1:17" x14ac:dyDescent="0.3">
      <c r="A279" s="16">
        <v>278</v>
      </c>
      <c r="B279" s="16">
        <v>0</v>
      </c>
      <c r="C279" s="16">
        <v>2</v>
      </c>
      <c r="D279" s="11" t="s">
        <v>536</v>
      </c>
      <c r="E279" s="11" t="s">
        <v>11</v>
      </c>
      <c r="F279" s="25">
        <v>26</v>
      </c>
      <c r="G279" s="16">
        <v>0</v>
      </c>
      <c r="H279" s="16">
        <v>0</v>
      </c>
      <c r="I279" s="11" t="s">
        <v>537</v>
      </c>
      <c r="J279" s="21">
        <v>0</v>
      </c>
      <c r="K279" s="27" t="str">
        <f t="shared" si="28"/>
        <v>Died</v>
      </c>
      <c r="L279" s="27" t="str">
        <f t="shared" si="29"/>
        <v>Young Adult</v>
      </c>
      <c r="M279" s="28">
        <f t="shared" si="30"/>
        <v>1</v>
      </c>
      <c r="N279" s="27" t="str">
        <f t="shared" si="31"/>
        <v>Alone</v>
      </c>
      <c r="O279" s="27" t="str">
        <f t="shared" si="32"/>
        <v>Low Fare</v>
      </c>
      <c r="P279" s="27" t="str">
        <f t="shared" si="33"/>
        <v>Second Class</v>
      </c>
      <c r="Q279" s="27">
        <f t="shared" si="34"/>
        <v>1</v>
      </c>
    </row>
    <row r="280" spans="1:17" x14ac:dyDescent="0.3">
      <c r="A280" s="15">
        <v>279</v>
      </c>
      <c r="B280" s="15">
        <v>0</v>
      </c>
      <c r="C280" s="15">
        <v>3</v>
      </c>
      <c r="D280" s="8" t="s">
        <v>538</v>
      </c>
      <c r="E280" s="8" t="s">
        <v>11</v>
      </c>
      <c r="F280" s="24">
        <v>7</v>
      </c>
      <c r="G280" s="15">
        <v>4</v>
      </c>
      <c r="H280" s="15">
        <v>1</v>
      </c>
      <c r="I280" s="8" t="s">
        <v>45</v>
      </c>
      <c r="J280" s="20">
        <v>29.125</v>
      </c>
      <c r="K280" s="27" t="str">
        <f t="shared" si="28"/>
        <v>Died</v>
      </c>
      <c r="L280" s="27" t="str">
        <f t="shared" si="29"/>
        <v>Child</v>
      </c>
      <c r="M280" s="28">
        <f t="shared" si="30"/>
        <v>6</v>
      </c>
      <c r="N280" s="27" t="str">
        <f t="shared" si="31"/>
        <v>Large Family</v>
      </c>
      <c r="O280" s="27" t="str">
        <f t="shared" si="32"/>
        <v>Medium Fare</v>
      </c>
      <c r="P280" s="27" t="str">
        <f t="shared" si="33"/>
        <v>Third Class</v>
      </c>
      <c r="Q280" s="27">
        <f t="shared" si="34"/>
        <v>1</v>
      </c>
    </row>
    <row r="281" spans="1:17" x14ac:dyDescent="0.3">
      <c r="A281" s="16">
        <v>280</v>
      </c>
      <c r="B281" s="16">
        <v>1</v>
      </c>
      <c r="C281" s="16">
        <v>3</v>
      </c>
      <c r="D281" s="11" t="s">
        <v>539</v>
      </c>
      <c r="E281" s="11" t="s">
        <v>14</v>
      </c>
      <c r="F281" s="25">
        <v>35</v>
      </c>
      <c r="G281" s="16">
        <v>1</v>
      </c>
      <c r="H281" s="16">
        <v>1</v>
      </c>
      <c r="I281" s="11" t="s">
        <v>540</v>
      </c>
      <c r="J281" s="21">
        <v>20.25</v>
      </c>
      <c r="K281" s="27" t="str">
        <f t="shared" si="28"/>
        <v>Survived</v>
      </c>
      <c r="L281" s="27" t="str">
        <f t="shared" si="29"/>
        <v>Adult</v>
      </c>
      <c r="M281" s="28">
        <f t="shared" si="30"/>
        <v>3</v>
      </c>
      <c r="N281" s="27" t="str">
        <f t="shared" si="31"/>
        <v>Small Family</v>
      </c>
      <c r="O281" s="27" t="str">
        <f t="shared" si="32"/>
        <v>Low Fare</v>
      </c>
      <c r="P281" s="27" t="str">
        <f t="shared" si="33"/>
        <v>Third Class</v>
      </c>
      <c r="Q281" s="27">
        <f t="shared" si="34"/>
        <v>2</v>
      </c>
    </row>
    <row r="282" spans="1:17" x14ac:dyDescent="0.3">
      <c r="A282" s="15">
        <v>281</v>
      </c>
      <c r="B282" s="15">
        <v>0</v>
      </c>
      <c r="C282" s="15">
        <v>3</v>
      </c>
      <c r="D282" s="8" t="s">
        <v>541</v>
      </c>
      <c r="E282" s="8" t="s">
        <v>11</v>
      </c>
      <c r="F282" s="24">
        <v>65</v>
      </c>
      <c r="G282" s="15">
        <v>0</v>
      </c>
      <c r="H282" s="15">
        <v>0</v>
      </c>
      <c r="I282" s="8" t="s">
        <v>542</v>
      </c>
      <c r="J282" s="20">
        <v>7.75</v>
      </c>
      <c r="K282" s="27" t="str">
        <f t="shared" si="28"/>
        <v>Died</v>
      </c>
      <c r="L282" s="27" t="str">
        <f t="shared" si="29"/>
        <v>Senior</v>
      </c>
      <c r="M282" s="28">
        <f t="shared" si="30"/>
        <v>1</v>
      </c>
      <c r="N282" s="27" t="str">
        <f t="shared" si="31"/>
        <v>Alone</v>
      </c>
      <c r="O282" s="27" t="str">
        <f t="shared" si="32"/>
        <v>Low Fare</v>
      </c>
      <c r="P282" s="27" t="str">
        <f t="shared" si="33"/>
        <v>Third Class</v>
      </c>
      <c r="Q282" s="27">
        <f t="shared" si="34"/>
        <v>1</v>
      </c>
    </row>
    <row r="283" spans="1:17" x14ac:dyDescent="0.3">
      <c r="A283" s="16">
        <v>282</v>
      </c>
      <c r="B283" s="16">
        <v>0</v>
      </c>
      <c r="C283" s="16">
        <v>3</v>
      </c>
      <c r="D283" s="11" t="s">
        <v>543</v>
      </c>
      <c r="E283" s="11" t="s">
        <v>11</v>
      </c>
      <c r="F283" s="25">
        <v>28</v>
      </c>
      <c r="G283" s="16">
        <v>0</v>
      </c>
      <c r="H283" s="16">
        <v>0</v>
      </c>
      <c r="I283" s="11" t="s">
        <v>544</v>
      </c>
      <c r="J283" s="21">
        <v>7.8541999999999996</v>
      </c>
      <c r="K283" s="27" t="str">
        <f t="shared" si="28"/>
        <v>Died</v>
      </c>
      <c r="L283" s="27" t="str">
        <f t="shared" si="29"/>
        <v>Young Adult</v>
      </c>
      <c r="M283" s="28">
        <f t="shared" si="30"/>
        <v>1</v>
      </c>
      <c r="N283" s="27" t="str">
        <f t="shared" si="31"/>
        <v>Alone</v>
      </c>
      <c r="O283" s="27" t="str">
        <f t="shared" si="32"/>
        <v>Low Fare</v>
      </c>
      <c r="P283" s="27" t="str">
        <f t="shared" si="33"/>
        <v>Third Class</v>
      </c>
      <c r="Q283" s="27">
        <f t="shared" si="34"/>
        <v>1</v>
      </c>
    </row>
    <row r="284" spans="1:17" x14ac:dyDescent="0.3">
      <c r="A284" s="15">
        <v>283</v>
      </c>
      <c r="B284" s="15">
        <v>0</v>
      </c>
      <c r="C284" s="15">
        <v>3</v>
      </c>
      <c r="D284" s="8" t="s">
        <v>545</v>
      </c>
      <c r="E284" s="8" t="s">
        <v>11</v>
      </c>
      <c r="F284" s="24">
        <v>16</v>
      </c>
      <c r="G284" s="15">
        <v>0</v>
      </c>
      <c r="H284" s="15">
        <v>0</v>
      </c>
      <c r="I284" s="8" t="s">
        <v>546</v>
      </c>
      <c r="J284" s="20">
        <v>9.5</v>
      </c>
      <c r="K284" s="27" t="str">
        <f t="shared" si="28"/>
        <v>Died</v>
      </c>
      <c r="L284" s="27" t="str">
        <f t="shared" si="29"/>
        <v>Child</v>
      </c>
      <c r="M284" s="28">
        <f t="shared" si="30"/>
        <v>1</v>
      </c>
      <c r="N284" s="27" t="str">
        <f t="shared" si="31"/>
        <v>Alone</v>
      </c>
      <c r="O284" s="27" t="str">
        <f t="shared" si="32"/>
        <v>Low Fare</v>
      </c>
      <c r="P284" s="27" t="str">
        <f t="shared" si="33"/>
        <v>Third Class</v>
      </c>
      <c r="Q284" s="27">
        <f t="shared" si="34"/>
        <v>1</v>
      </c>
    </row>
    <row r="285" spans="1:17" x14ac:dyDescent="0.3">
      <c r="A285" s="16">
        <v>284</v>
      </c>
      <c r="B285" s="16">
        <v>1</v>
      </c>
      <c r="C285" s="16">
        <v>3</v>
      </c>
      <c r="D285" s="11" t="s">
        <v>547</v>
      </c>
      <c r="E285" s="11" t="s">
        <v>11</v>
      </c>
      <c r="F285" s="25">
        <v>19</v>
      </c>
      <c r="G285" s="16">
        <v>0</v>
      </c>
      <c r="H285" s="16">
        <v>0</v>
      </c>
      <c r="I285" s="11" t="s">
        <v>548</v>
      </c>
      <c r="J285" s="21">
        <v>8.0500000000000007</v>
      </c>
      <c r="K285" s="27" t="str">
        <f t="shared" si="28"/>
        <v>Survived</v>
      </c>
      <c r="L285" s="27" t="str">
        <f t="shared" si="29"/>
        <v>Young Adult</v>
      </c>
      <c r="M285" s="28">
        <f t="shared" si="30"/>
        <v>1</v>
      </c>
      <c r="N285" s="27" t="str">
        <f t="shared" si="31"/>
        <v>Alone</v>
      </c>
      <c r="O285" s="27" t="str">
        <f t="shared" si="32"/>
        <v>Low Fare</v>
      </c>
      <c r="P285" s="27" t="str">
        <f t="shared" si="33"/>
        <v>Third Class</v>
      </c>
      <c r="Q285" s="27">
        <f t="shared" si="34"/>
        <v>1</v>
      </c>
    </row>
    <row r="286" spans="1:17" x14ac:dyDescent="0.3">
      <c r="A286" s="15">
        <v>285</v>
      </c>
      <c r="B286" s="15">
        <v>0</v>
      </c>
      <c r="C286" s="15">
        <v>1</v>
      </c>
      <c r="D286" s="8" t="s">
        <v>549</v>
      </c>
      <c r="E286" s="8" t="s">
        <v>11</v>
      </c>
      <c r="F286" s="24">
        <v>26</v>
      </c>
      <c r="G286" s="15">
        <v>0</v>
      </c>
      <c r="H286" s="15">
        <v>0</v>
      </c>
      <c r="I286" s="8" t="s">
        <v>550</v>
      </c>
      <c r="J286" s="20">
        <v>26</v>
      </c>
      <c r="K286" s="27" t="str">
        <f t="shared" si="28"/>
        <v>Died</v>
      </c>
      <c r="L286" s="27" t="str">
        <f t="shared" si="29"/>
        <v>Young Adult</v>
      </c>
      <c r="M286" s="28">
        <f t="shared" si="30"/>
        <v>1</v>
      </c>
      <c r="N286" s="27" t="str">
        <f t="shared" si="31"/>
        <v>Alone</v>
      </c>
      <c r="O286" s="27" t="str">
        <f t="shared" si="32"/>
        <v>Medium Fare</v>
      </c>
      <c r="P286" s="27" t="str">
        <f t="shared" si="33"/>
        <v>First Class</v>
      </c>
      <c r="Q286" s="27">
        <f t="shared" si="34"/>
        <v>1</v>
      </c>
    </row>
    <row r="287" spans="1:17" x14ac:dyDescent="0.3">
      <c r="A287" s="16">
        <v>286</v>
      </c>
      <c r="B287" s="16">
        <v>0</v>
      </c>
      <c r="C287" s="16">
        <v>3</v>
      </c>
      <c r="D287" s="11" t="s">
        <v>551</v>
      </c>
      <c r="E287" s="11" t="s">
        <v>11</v>
      </c>
      <c r="F287" s="25">
        <v>33</v>
      </c>
      <c r="G287" s="16">
        <v>0</v>
      </c>
      <c r="H287" s="16">
        <v>0</v>
      </c>
      <c r="I287" s="11" t="s">
        <v>552</v>
      </c>
      <c r="J287" s="21">
        <v>8.6624999999999996</v>
      </c>
      <c r="K287" s="27" t="str">
        <f t="shared" si="28"/>
        <v>Died</v>
      </c>
      <c r="L287" s="27" t="str">
        <f t="shared" si="29"/>
        <v>Young Adult</v>
      </c>
      <c r="M287" s="28">
        <f t="shared" si="30"/>
        <v>1</v>
      </c>
      <c r="N287" s="27" t="str">
        <f t="shared" si="31"/>
        <v>Alone</v>
      </c>
      <c r="O287" s="27" t="str">
        <f t="shared" si="32"/>
        <v>Low Fare</v>
      </c>
      <c r="P287" s="27" t="str">
        <f t="shared" si="33"/>
        <v>Third Class</v>
      </c>
      <c r="Q287" s="27">
        <f t="shared" si="34"/>
        <v>1</v>
      </c>
    </row>
    <row r="288" spans="1:17" x14ac:dyDescent="0.3">
      <c r="A288" s="15">
        <v>287</v>
      </c>
      <c r="B288" s="15">
        <v>1</v>
      </c>
      <c r="C288" s="15">
        <v>3</v>
      </c>
      <c r="D288" s="8" t="s">
        <v>553</v>
      </c>
      <c r="E288" s="8" t="s">
        <v>11</v>
      </c>
      <c r="F288" s="24">
        <v>30</v>
      </c>
      <c r="G288" s="15">
        <v>0</v>
      </c>
      <c r="H288" s="15">
        <v>0</v>
      </c>
      <c r="I288" s="8" t="s">
        <v>554</v>
      </c>
      <c r="J288" s="20">
        <v>9.5</v>
      </c>
      <c r="K288" s="27" t="str">
        <f t="shared" si="28"/>
        <v>Survived</v>
      </c>
      <c r="L288" s="27" t="str">
        <f t="shared" si="29"/>
        <v>Young Adult</v>
      </c>
      <c r="M288" s="28">
        <f t="shared" si="30"/>
        <v>1</v>
      </c>
      <c r="N288" s="27" t="str">
        <f t="shared" si="31"/>
        <v>Alone</v>
      </c>
      <c r="O288" s="27" t="str">
        <f t="shared" si="32"/>
        <v>Low Fare</v>
      </c>
      <c r="P288" s="27" t="str">
        <f t="shared" si="33"/>
        <v>Third Class</v>
      </c>
      <c r="Q288" s="27">
        <f t="shared" si="34"/>
        <v>1</v>
      </c>
    </row>
    <row r="289" spans="1:17" x14ac:dyDescent="0.3">
      <c r="A289" s="16">
        <v>288</v>
      </c>
      <c r="B289" s="16">
        <v>0</v>
      </c>
      <c r="C289" s="16">
        <v>3</v>
      </c>
      <c r="D289" s="11" t="s">
        <v>555</v>
      </c>
      <c r="E289" s="11" t="s">
        <v>11</v>
      </c>
      <c r="F289" s="25">
        <v>22</v>
      </c>
      <c r="G289" s="16">
        <v>0</v>
      </c>
      <c r="H289" s="16">
        <v>0</v>
      </c>
      <c r="I289" s="11" t="s">
        <v>556</v>
      </c>
      <c r="J289" s="21">
        <v>7.8958000000000004</v>
      </c>
      <c r="K289" s="27" t="str">
        <f t="shared" si="28"/>
        <v>Died</v>
      </c>
      <c r="L289" s="27" t="str">
        <f t="shared" si="29"/>
        <v>Young Adult</v>
      </c>
      <c r="M289" s="28">
        <f t="shared" si="30"/>
        <v>1</v>
      </c>
      <c r="N289" s="27" t="str">
        <f t="shared" si="31"/>
        <v>Alone</v>
      </c>
      <c r="O289" s="27" t="str">
        <f t="shared" si="32"/>
        <v>Low Fare</v>
      </c>
      <c r="P289" s="27" t="str">
        <f t="shared" si="33"/>
        <v>Third Class</v>
      </c>
      <c r="Q289" s="27">
        <f t="shared" si="34"/>
        <v>1</v>
      </c>
    </row>
    <row r="290" spans="1:17" x14ac:dyDescent="0.3">
      <c r="A290" s="15">
        <v>289</v>
      </c>
      <c r="B290" s="15">
        <v>1</v>
      </c>
      <c r="C290" s="15">
        <v>2</v>
      </c>
      <c r="D290" s="8" t="s">
        <v>557</v>
      </c>
      <c r="E290" s="8" t="s">
        <v>11</v>
      </c>
      <c r="F290" s="24">
        <v>42</v>
      </c>
      <c r="G290" s="15">
        <v>0</v>
      </c>
      <c r="H290" s="15">
        <v>0</v>
      </c>
      <c r="I290" s="8" t="s">
        <v>558</v>
      </c>
      <c r="J290" s="20">
        <v>13</v>
      </c>
      <c r="K290" s="27" t="str">
        <f t="shared" si="28"/>
        <v>Survived</v>
      </c>
      <c r="L290" s="27" t="str">
        <f t="shared" si="29"/>
        <v>Adult</v>
      </c>
      <c r="M290" s="28">
        <f t="shared" si="30"/>
        <v>1</v>
      </c>
      <c r="N290" s="27" t="str">
        <f t="shared" si="31"/>
        <v>Alone</v>
      </c>
      <c r="O290" s="27" t="str">
        <f t="shared" si="32"/>
        <v>Low Fare</v>
      </c>
      <c r="P290" s="27" t="str">
        <f t="shared" si="33"/>
        <v>Second Class</v>
      </c>
      <c r="Q290" s="27">
        <f t="shared" si="34"/>
        <v>1</v>
      </c>
    </row>
    <row r="291" spans="1:17" x14ac:dyDescent="0.3">
      <c r="A291" s="16">
        <v>290</v>
      </c>
      <c r="B291" s="16">
        <v>1</v>
      </c>
      <c r="C291" s="16">
        <v>3</v>
      </c>
      <c r="D291" s="11" t="s">
        <v>559</v>
      </c>
      <c r="E291" s="11" t="s">
        <v>14</v>
      </c>
      <c r="F291" s="25">
        <v>22</v>
      </c>
      <c r="G291" s="16">
        <v>0</v>
      </c>
      <c r="H291" s="16">
        <v>0</v>
      </c>
      <c r="I291" s="11" t="s">
        <v>560</v>
      </c>
      <c r="J291" s="21">
        <v>7.75</v>
      </c>
      <c r="K291" s="27" t="str">
        <f t="shared" si="28"/>
        <v>Survived</v>
      </c>
      <c r="L291" s="27" t="str">
        <f t="shared" si="29"/>
        <v>Young Adult</v>
      </c>
      <c r="M291" s="28">
        <f t="shared" si="30"/>
        <v>1</v>
      </c>
      <c r="N291" s="27" t="str">
        <f t="shared" si="31"/>
        <v>Alone</v>
      </c>
      <c r="O291" s="27" t="str">
        <f t="shared" si="32"/>
        <v>Low Fare</v>
      </c>
      <c r="P291" s="27" t="str">
        <f t="shared" si="33"/>
        <v>Third Class</v>
      </c>
      <c r="Q291" s="27">
        <f t="shared" si="34"/>
        <v>2</v>
      </c>
    </row>
    <row r="292" spans="1:17" x14ac:dyDescent="0.3">
      <c r="A292" s="15">
        <v>291</v>
      </c>
      <c r="B292" s="15">
        <v>1</v>
      </c>
      <c r="C292" s="15">
        <v>1</v>
      </c>
      <c r="D292" s="8" t="s">
        <v>561</v>
      </c>
      <c r="E292" s="8" t="s">
        <v>14</v>
      </c>
      <c r="F292" s="24">
        <v>26</v>
      </c>
      <c r="G292" s="15">
        <v>0</v>
      </c>
      <c r="H292" s="15">
        <v>0</v>
      </c>
      <c r="I292" s="8" t="s">
        <v>562</v>
      </c>
      <c r="J292" s="20">
        <v>78.849999999999994</v>
      </c>
      <c r="K292" s="27" t="str">
        <f t="shared" si="28"/>
        <v>Survived</v>
      </c>
      <c r="L292" s="27" t="str">
        <f t="shared" si="29"/>
        <v>Young Adult</v>
      </c>
      <c r="M292" s="28">
        <f t="shared" si="30"/>
        <v>1</v>
      </c>
      <c r="N292" s="27" t="str">
        <f t="shared" si="31"/>
        <v>Alone</v>
      </c>
      <c r="O292" s="27" t="str">
        <f t="shared" si="32"/>
        <v>Medium Fare</v>
      </c>
      <c r="P292" s="27" t="str">
        <f t="shared" si="33"/>
        <v>First Class</v>
      </c>
      <c r="Q292" s="27">
        <f t="shared" si="34"/>
        <v>2</v>
      </c>
    </row>
    <row r="293" spans="1:17" x14ac:dyDescent="0.3">
      <c r="A293" s="16">
        <v>292</v>
      </c>
      <c r="B293" s="16">
        <v>1</v>
      </c>
      <c r="C293" s="16">
        <v>1</v>
      </c>
      <c r="D293" s="11" t="s">
        <v>563</v>
      </c>
      <c r="E293" s="11" t="s">
        <v>14</v>
      </c>
      <c r="F293" s="25">
        <v>19</v>
      </c>
      <c r="G293" s="16">
        <v>1</v>
      </c>
      <c r="H293" s="16">
        <v>0</v>
      </c>
      <c r="I293" s="11" t="s">
        <v>564</v>
      </c>
      <c r="J293" s="21">
        <v>91.0792</v>
      </c>
      <c r="K293" s="27" t="str">
        <f t="shared" si="28"/>
        <v>Survived</v>
      </c>
      <c r="L293" s="27" t="str">
        <f t="shared" si="29"/>
        <v>Young Adult</v>
      </c>
      <c r="M293" s="28">
        <f t="shared" si="30"/>
        <v>2</v>
      </c>
      <c r="N293" s="27" t="str">
        <f t="shared" si="31"/>
        <v>Small Family</v>
      </c>
      <c r="O293" s="27" t="str">
        <f t="shared" si="32"/>
        <v>Medium Fare</v>
      </c>
      <c r="P293" s="27" t="str">
        <f t="shared" si="33"/>
        <v>First Class</v>
      </c>
      <c r="Q293" s="27">
        <f t="shared" si="34"/>
        <v>2</v>
      </c>
    </row>
    <row r="294" spans="1:17" x14ac:dyDescent="0.3">
      <c r="A294" s="15">
        <v>293</v>
      </c>
      <c r="B294" s="15">
        <v>0</v>
      </c>
      <c r="C294" s="15">
        <v>2</v>
      </c>
      <c r="D294" s="8" t="s">
        <v>565</v>
      </c>
      <c r="E294" s="8" t="s">
        <v>11</v>
      </c>
      <c r="F294" s="24">
        <v>36</v>
      </c>
      <c r="G294" s="15">
        <v>0</v>
      </c>
      <c r="H294" s="15">
        <v>0</v>
      </c>
      <c r="I294" s="8" t="s">
        <v>566</v>
      </c>
      <c r="J294" s="20">
        <v>12.875</v>
      </c>
      <c r="K294" s="27" t="str">
        <f t="shared" si="28"/>
        <v>Died</v>
      </c>
      <c r="L294" s="27" t="str">
        <f t="shared" si="29"/>
        <v>Adult</v>
      </c>
      <c r="M294" s="28">
        <f t="shared" si="30"/>
        <v>1</v>
      </c>
      <c r="N294" s="27" t="str">
        <f t="shared" si="31"/>
        <v>Alone</v>
      </c>
      <c r="O294" s="27" t="str">
        <f t="shared" si="32"/>
        <v>Low Fare</v>
      </c>
      <c r="P294" s="27" t="str">
        <f t="shared" si="33"/>
        <v>Second Class</v>
      </c>
      <c r="Q294" s="27">
        <f t="shared" si="34"/>
        <v>1</v>
      </c>
    </row>
    <row r="295" spans="1:17" x14ac:dyDescent="0.3">
      <c r="A295" s="16">
        <v>294</v>
      </c>
      <c r="B295" s="16">
        <v>0</v>
      </c>
      <c r="C295" s="16">
        <v>3</v>
      </c>
      <c r="D295" s="11" t="s">
        <v>567</v>
      </c>
      <c r="E295" s="11" t="s">
        <v>14</v>
      </c>
      <c r="F295" s="25">
        <v>24</v>
      </c>
      <c r="G295" s="16">
        <v>0</v>
      </c>
      <c r="H295" s="16">
        <v>0</v>
      </c>
      <c r="I295" s="11" t="s">
        <v>568</v>
      </c>
      <c r="J295" s="21">
        <v>8.85</v>
      </c>
      <c r="K295" s="27" t="str">
        <f t="shared" si="28"/>
        <v>Died</v>
      </c>
      <c r="L295" s="27" t="str">
        <f t="shared" si="29"/>
        <v>Young Adult</v>
      </c>
      <c r="M295" s="28">
        <f t="shared" si="30"/>
        <v>1</v>
      </c>
      <c r="N295" s="27" t="str">
        <f t="shared" si="31"/>
        <v>Alone</v>
      </c>
      <c r="O295" s="27" t="str">
        <f t="shared" si="32"/>
        <v>Low Fare</v>
      </c>
      <c r="P295" s="27" t="str">
        <f t="shared" si="33"/>
        <v>Third Class</v>
      </c>
      <c r="Q295" s="27">
        <f t="shared" si="34"/>
        <v>2</v>
      </c>
    </row>
    <row r="296" spans="1:17" x14ac:dyDescent="0.3">
      <c r="A296" s="15">
        <v>295</v>
      </c>
      <c r="B296" s="15">
        <v>0</v>
      </c>
      <c r="C296" s="15">
        <v>3</v>
      </c>
      <c r="D296" s="8" t="s">
        <v>569</v>
      </c>
      <c r="E296" s="8" t="s">
        <v>11</v>
      </c>
      <c r="F296" s="24">
        <v>24</v>
      </c>
      <c r="G296" s="15">
        <v>0</v>
      </c>
      <c r="H296" s="15">
        <v>0</v>
      </c>
      <c r="I296" s="8" t="s">
        <v>570</v>
      </c>
      <c r="J296" s="20">
        <v>7.8958000000000004</v>
      </c>
      <c r="K296" s="27" t="str">
        <f t="shared" si="28"/>
        <v>Died</v>
      </c>
      <c r="L296" s="27" t="str">
        <f t="shared" si="29"/>
        <v>Young Adult</v>
      </c>
      <c r="M296" s="28">
        <f t="shared" si="30"/>
        <v>1</v>
      </c>
      <c r="N296" s="27" t="str">
        <f t="shared" si="31"/>
        <v>Alone</v>
      </c>
      <c r="O296" s="27" t="str">
        <f t="shared" si="32"/>
        <v>Low Fare</v>
      </c>
      <c r="P296" s="27" t="str">
        <f t="shared" si="33"/>
        <v>Third Class</v>
      </c>
      <c r="Q296" s="27">
        <f t="shared" si="34"/>
        <v>1</v>
      </c>
    </row>
    <row r="297" spans="1:17" x14ac:dyDescent="0.3">
      <c r="A297" s="16">
        <v>296</v>
      </c>
      <c r="B297" s="16">
        <v>0</v>
      </c>
      <c r="C297" s="16">
        <v>1</v>
      </c>
      <c r="D297" s="11" t="s">
        <v>571</v>
      </c>
      <c r="E297" s="11" t="s">
        <v>11</v>
      </c>
      <c r="F297" s="25">
        <v>26</v>
      </c>
      <c r="G297" s="16">
        <v>0</v>
      </c>
      <c r="H297" s="16">
        <v>0</v>
      </c>
      <c r="I297" s="11" t="s">
        <v>572</v>
      </c>
      <c r="J297" s="21">
        <v>27.720800000000001</v>
      </c>
      <c r="K297" s="27" t="str">
        <f t="shared" si="28"/>
        <v>Died</v>
      </c>
      <c r="L297" s="27" t="str">
        <f t="shared" si="29"/>
        <v>Young Adult</v>
      </c>
      <c r="M297" s="28">
        <f t="shared" si="30"/>
        <v>1</v>
      </c>
      <c r="N297" s="27" t="str">
        <f t="shared" si="31"/>
        <v>Alone</v>
      </c>
      <c r="O297" s="27" t="str">
        <f t="shared" si="32"/>
        <v>Medium Fare</v>
      </c>
      <c r="P297" s="27" t="str">
        <f t="shared" si="33"/>
        <v>First Class</v>
      </c>
      <c r="Q297" s="27">
        <f t="shared" si="34"/>
        <v>1</v>
      </c>
    </row>
    <row r="298" spans="1:17" x14ac:dyDescent="0.3">
      <c r="A298" s="15">
        <v>297</v>
      </c>
      <c r="B298" s="15">
        <v>0</v>
      </c>
      <c r="C298" s="15">
        <v>3</v>
      </c>
      <c r="D298" s="8" t="s">
        <v>573</v>
      </c>
      <c r="E298" s="8" t="s">
        <v>11</v>
      </c>
      <c r="F298" s="24">
        <v>23.5</v>
      </c>
      <c r="G298" s="15">
        <v>0</v>
      </c>
      <c r="H298" s="15">
        <v>0</v>
      </c>
      <c r="I298" s="8" t="s">
        <v>574</v>
      </c>
      <c r="J298" s="20">
        <v>7.2291999999999996</v>
      </c>
      <c r="K298" s="27" t="str">
        <f t="shared" si="28"/>
        <v>Died</v>
      </c>
      <c r="L298" s="27" t="str">
        <f t="shared" si="29"/>
        <v>Young Adult</v>
      </c>
      <c r="M298" s="28">
        <f t="shared" si="30"/>
        <v>1</v>
      </c>
      <c r="N298" s="27" t="str">
        <f t="shared" si="31"/>
        <v>Alone</v>
      </c>
      <c r="O298" s="27" t="str">
        <f t="shared" si="32"/>
        <v>Low Fare</v>
      </c>
      <c r="P298" s="27" t="str">
        <f t="shared" si="33"/>
        <v>Third Class</v>
      </c>
      <c r="Q298" s="27">
        <f t="shared" si="34"/>
        <v>1</v>
      </c>
    </row>
    <row r="299" spans="1:17" x14ac:dyDescent="0.3">
      <c r="A299" s="16">
        <v>298</v>
      </c>
      <c r="B299" s="16">
        <v>0</v>
      </c>
      <c r="C299" s="16">
        <v>1</v>
      </c>
      <c r="D299" s="11" t="s">
        <v>575</v>
      </c>
      <c r="E299" s="11" t="s">
        <v>14</v>
      </c>
      <c r="F299" s="25">
        <v>2</v>
      </c>
      <c r="G299" s="16">
        <v>1</v>
      </c>
      <c r="H299" s="16">
        <v>2</v>
      </c>
      <c r="I299" s="11" t="s">
        <v>576</v>
      </c>
      <c r="J299" s="21">
        <v>151.55000000000001</v>
      </c>
      <c r="K299" s="27" t="str">
        <f t="shared" si="28"/>
        <v>Died</v>
      </c>
      <c r="L299" s="27" t="str">
        <f t="shared" si="29"/>
        <v>Child</v>
      </c>
      <c r="M299" s="28">
        <f t="shared" si="30"/>
        <v>4</v>
      </c>
      <c r="N299" s="27" t="str">
        <f t="shared" si="31"/>
        <v>Small Family</v>
      </c>
      <c r="O299" s="27" t="str">
        <f t="shared" si="32"/>
        <v>High Fare</v>
      </c>
      <c r="P299" s="27" t="str">
        <f t="shared" si="33"/>
        <v>First Class</v>
      </c>
      <c r="Q299" s="27">
        <f t="shared" si="34"/>
        <v>2</v>
      </c>
    </row>
    <row r="300" spans="1:17" x14ac:dyDescent="0.3">
      <c r="A300" s="15">
        <v>299</v>
      </c>
      <c r="B300" s="15">
        <v>1</v>
      </c>
      <c r="C300" s="15">
        <v>1</v>
      </c>
      <c r="D300" s="8" t="s">
        <v>577</v>
      </c>
      <c r="E300" s="8" t="s">
        <v>11</v>
      </c>
      <c r="F300" s="24">
        <v>26</v>
      </c>
      <c r="G300" s="15">
        <v>0</v>
      </c>
      <c r="H300" s="15">
        <v>0</v>
      </c>
      <c r="I300" s="8" t="s">
        <v>578</v>
      </c>
      <c r="J300" s="20">
        <v>30.5</v>
      </c>
      <c r="K300" s="27" t="str">
        <f t="shared" si="28"/>
        <v>Survived</v>
      </c>
      <c r="L300" s="27" t="str">
        <f t="shared" si="29"/>
        <v>Young Adult</v>
      </c>
      <c r="M300" s="28">
        <f t="shared" si="30"/>
        <v>1</v>
      </c>
      <c r="N300" s="27" t="str">
        <f t="shared" si="31"/>
        <v>Alone</v>
      </c>
      <c r="O300" s="27" t="str">
        <f t="shared" si="32"/>
        <v>Medium Fare</v>
      </c>
      <c r="P300" s="27" t="str">
        <f t="shared" si="33"/>
        <v>First Class</v>
      </c>
      <c r="Q300" s="27">
        <f t="shared" si="34"/>
        <v>1</v>
      </c>
    </row>
    <row r="301" spans="1:17" x14ac:dyDescent="0.3">
      <c r="A301" s="16">
        <v>300</v>
      </c>
      <c r="B301" s="16">
        <v>1</v>
      </c>
      <c r="C301" s="16">
        <v>1</v>
      </c>
      <c r="D301" s="11" t="s">
        <v>579</v>
      </c>
      <c r="E301" s="11" t="s">
        <v>14</v>
      </c>
      <c r="F301" s="25">
        <v>50</v>
      </c>
      <c r="G301" s="16">
        <v>0</v>
      </c>
      <c r="H301" s="16">
        <v>1</v>
      </c>
      <c r="I301" s="11" t="s">
        <v>245</v>
      </c>
      <c r="J301" s="21">
        <v>247.52080000000001</v>
      </c>
      <c r="K301" s="27" t="str">
        <f t="shared" si="28"/>
        <v>Survived</v>
      </c>
      <c r="L301" s="27" t="str">
        <f t="shared" si="29"/>
        <v>Adult</v>
      </c>
      <c r="M301" s="28">
        <f t="shared" si="30"/>
        <v>2</v>
      </c>
      <c r="N301" s="27" t="str">
        <f t="shared" si="31"/>
        <v>Small Family</v>
      </c>
      <c r="O301" s="27" t="str">
        <f t="shared" si="32"/>
        <v>High Fare</v>
      </c>
      <c r="P301" s="27" t="str">
        <f t="shared" si="33"/>
        <v>First Class</v>
      </c>
      <c r="Q301" s="27">
        <f t="shared" si="34"/>
        <v>2</v>
      </c>
    </row>
    <row r="302" spans="1:17" x14ac:dyDescent="0.3">
      <c r="A302" s="15">
        <v>301</v>
      </c>
      <c r="B302" s="15">
        <v>1</v>
      </c>
      <c r="C302" s="15">
        <v>3</v>
      </c>
      <c r="D302" s="8" t="s">
        <v>580</v>
      </c>
      <c r="E302" s="8" t="s">
        <v>14</v>
      </c>
      <c r="F302" s="24">
        <v>26</v>
      </c>
      <c r="G302" s="15">
        <v>0</v>
      </c>
      <c r="H302" s="15">
        <v>0</v>
      </c>
      <c r="I302" s="8" t="s">
        <v>581</v>
      </c>
      <c r="J302" s="20">
        <v>7.75</v>
      </c>
      <c r="K302" s="27" t="str">
        <f t="shared" si="28"/>
        <v>Survived</v>
      </c>
      <c r="L302" s="27" t="str">
        <f t="shared" si="29"/>
        <v>Young Adult</v>
      </c>
      <c r="M302" s="28">
        <f t="shared" si="30"/>
        <v>1</v>
      </c>
      <c r="N302" s="27" t="str">
        <f t="shared" si="31"/>
        <v>Alone</v>
      </c>
      <c r="O302" s="27" t="str">
        <f t="shared" si="32"/>
        <v>Low Fare</v>
      </c>
      <c r="P302" s="27" t="str">
        <f t="shared" si="33"/>
        <v>Third Class</v>
      </c>
      <c r="Q302" s="27">
        <f t="shared" si="34"/>
        <v>2</v>
      </c>
    </row>
    <row r="303" spans="1:17" x14ac:dyDescent="0.3">
      <c r="A303" s="16">
        <v>302</v>
      </c>
      <c r="B303" s="16">
        <v>1</v>
      </c>
      <c r="C303" s="16">
        <v>3</v>
      </c>
      <c r="D303" s="11" t="s">
        <v>582</v>
      </c>
      <c r="E303" s="11" t="s">
        <v>11</v>
      </c>
      <c r="F303" s="25">
        <v>26</v>
      </c>
      <c r="G303" s="16">
        <v>2</v>
      </c>
      <c r="H303" s="16">
        <v>0</v>
      </c>
      <c r="I303" s="11" t="s">
        <v>583</v>
      </c>
      <c r="J303" s="21">
        <v>23.25</v>
      </c>
      <c r="K303" s="27" t="str">
        <f t="shared" si="28"/>
        <v>Survived</v>
      </c>
      <c r="L303" s="27" t="str">
        <f t="shared" si="29"/>
        <v>Young Adult</v>
      </c>
      <c r="M303" s="28">
        <f t="shared" si="30"/>
        <v>3</v>
      </c>
      <c r="N303" s="27" t="str">
        <f t="shared" si="31"/>
        <v>Small Family</v>
      </c>
      <c r="O303" s="27" t="str">
        <f t="shared" si="32"/>
        <v>Low Fare</v>
      </c>
      <c r="P303" s="27" t="str">
        <f t="shared" si="33"/>
        <v>Third Class</v>
      </c>
      <c r="Q303" s="27">
        <f t="shared" si="34"/>
        <v>1</v>
      </c>
    </row>
    <row r="304" spans="1:17" x14ac:dyDescent="0.3">
      <c r="A304" s="15">
        <v>303</v>
      </c>
      <c r="B304" s="15">
        <v>0</v>
      </c>
      <c r="C304" s="15">
        <v>3</v>
      </c>
      <c r="D304" s="8" t="s">
        <v>584</v>
      </c>
      <c r="E304" s="8" t="s">
        <v>11</v>
      </c>
      <c r="F304" s="24">
        <v>19</v>
      </c>
      <c r="G304" s="15">
        <v>0</v>
      </c>
      <c r="H304" s="15">
        <v>0</v>
      </c>
      <c r="I304" s="8" t="s">
        <v>355</v>
      </c>
      <c r="J304" s="20">
        <v>0</v>
      </c>
      <c r="K304" s="27" t="str">
        <f t="shared" si="28"/>
        <v>Died</v>
      </c>
      <c r="L304" s="27" t="str">
        <f t="shared" si="29"/>
        <v>Young Adult</v>
      </c>
      <c r="M304" s="28">
        <f t="shared" si="30"/>
        <v>1</v>
      </c>
      <c r="N304" s="27" t="str">
        <f t="shared" si="31"/>
        <v>Alone</v>
      </c>
      <c r="O304" s="27" t="str">
        <f t="shared" si="32"/>
        <v>Low Fare</v>
      </c>
      <c r="P304" s="27" t="str">
        <f t="shared" si="33"/>
        <v>Third Class</v>
      </c>
      <c r="Q304" s="27">
        <f t="shared" si="34"/>
        <v>1</v>
      </c>
    </row>
    <row r="305" spans="1:17" x14ac:dyDescent="0.3">
      <c r="A305" s="16">
        <v>304</v>
      </c>
      <c r="B305" s="16">
        <v>1</v>
      </c>
      <c r="C305" s="16">
        <v>2</v>
      </c>
      <c r="D305" s="11" t="s">
        <v>585</v>
      </c>
      <c r="E305" s="11" t="s">
        <v>14</v>
      </c>
      <c r="F305" s="25">
        <v>26</v>
      </c>
      <c r="G305" s="16">
        <v>0</v>
      </c>
      <c r="H305" s="16">
        <v>0</v>
      </c>
      <c r="I305" s="11" t="s">
        <v>586</v>
      </c>
      <c r="J305" s="21">
        <v>12.35</v>
      </c>
      <c r="K305" s="27" t="str">
        <f t="shared" si="28"/>
        <v>Survived</v>
      </c>
      <c r="L305" s="27" t="str">
        <f t="shared" si="29"/>
        <v>Young Adult</v>
      </c>
      <c r="M305" s="28">
        <f t="shared" si="30"/>
        <v>1</v>
      </c>
      <c r="N305" s="27" t="str">
        <f t="shared" si="31"/>
        <v>Alone</v>
      </c>
      <c r="O305" s="27" t="str">
        <f t="shared" si="32"/>
        <v>Low Fare</v>
      </c>
      <c r="P305" s="27" t="str">
        <f t="shared" si="33"/>
        <v>Second Class</v>
      </c>
      <c r="Q305" s="27">
        <f t="shared" si="34"/>
        <v>2</v>
      </c>
    </row>
    <row r="306" spans="1:17" x14ac:dyDescent="0.3">
      <c r="A306" s="15">
        <v>305</v>
      </c>
      <c r="B306" s="15">
        <v>0</v>
      </c>
      <c r="C306" s="15">
        <v>3</v>
      </c>
      <c r="D306" s="8" t="s">
        <v>587</v>
      </c>
      <c r="E306" s="8" t="s">
        <v>11</v>
      </c>
      <c r="F306" s="24">
        <v>26</v>
      </c>
      <c r="G306" s="15">
        <v>0</v>
      </c>
      <c r="H306" s="15">
        <v>0</v>
      </c>
      <c r="I306" s="8" t="s">
        <v>588</v>
      </c>
      <c r="J306" s="20">
        <v>8.0500000000000007</v>
      </c>
      <c r="K306" s="27" t="str">
        <f t="shared" si="28"/>
        <v>Died</v>
      </c>
      <c r="L306" s="27" t="str">
        <f t="shared" si="29"/>
        <v>Young Adult</v>
      </c>
      <c r="M306" s="28">
        <f t="shared" si="30"/>
        <v>1</v>
      </c>
      <c r="N306" s="27" t="str">
        <f t="shared" si="31"/>
        <v>Alone</v>
      </c>
      <c r="O306" s="27" t="str">
        <f t="shared" si="32"/>
        <v>Low Fare</v>
      </c>
      <c r="P306" s="27" t="str">
        <f t="shared" si="33"/>
        <v>Third Class</v>
      </c>
      <c r="Q306" s="27">
        <f t="shared" si="34"/>
        <v>1</v>
      </c>
    </row>
    <row r="307" spans="1:17" x14ac:dyDescent="0.3">
      <c r="A307" s="16">
        <v>306</v>
      </c>
      <c r="B307" s="16">
        <v>1</v>
      </c>
      <c r="C307" s="16">
        <v>1</v>
      </c>
      <c r="D307" s="11" t="s">
        <v>589</v>
      </c>
      <c r="E307" s="11" t="s">
        <v>11</v>
      </c>
      <c r="F307" s="25">
        <v>0.92</v>
      </c>
      <c r="G307" s="16">
        <v>1</v>
      </c>
      <c r="H307" s="16">
        <v>2</v>
      </c>
      <c r="I307" s="11" t="s">
        <v>576</v>
      </c>
      <c r="J307" s="21">
        <v>151.55000000000001</v>
      </c>
      <c r="K307" s="27" t="str">
        <f t="shared" si="28"/>
        <v>Survived</v>
      </c>
      <c r="L307" s="27" t="str">
        <f t="shared" si="29"/>
        <v>Child</v>
      </c>
      <c r="M307" s="28">
        <f t="shared" si="30"/>
        <v>4</v>
      </c>
      <c r="N307" s="27" t="str">
        <f t="shared" si="31"/>
        <v>Small Family</v>
      </c>
      <c r="O307" s="27" t="str">
        <f t="shared" si="32"/>
        <v>High Fare</v>
      </c>
      <c r="P307" s="27" t="str">
        <f t="shared" si="33"/>
        <v>First Class</v>
      </c>
      <c r="Q307" s="27">
        <f t="shared" si="34"/>
        <v>1</v>
      </c>
    </row>
    <row r="308" spans="1:17" x14ac:dyDescent="0.3">
      <c r="A308" s="15">
        <v>307</v>
      </c>
      <c r="B308" s="15">
        <v>1</v>
      </c>
      <c r="C308" s="15">
        <v>1</v>
      </c>
      <c r="D308" s="8" t="s">
        <v>590</v>
      </c>
      <c r="E308" s="8" t="s">
        <v>14</v>
      </c>
      <c r="F308" s="24">
        <v>26</v>
      </c>
      <c r="G308" s="15">
        <v>0</v>
      </c>
      <c r="H308" s="15">
        <v>0</v>
      </c>
      <c r="I308" s="8" t="s">
        <v>591</v>
      </c>
      <c r="J308" s="20">
        <v>110.88330000000001</v>
      </c>
      <c r="K308" s="27" t="str">
        <f t="shared" si="28"/>
        <v>Survived</v>
      </c>
      <c r="L308" s="27" t="str">
        <f t="shared" si="29"/>
        <v>Young Adult</v>
      </c>
      <c r="M308" s="28">
        <f t="shared" si="30"/>
        <v>1</v>
      </c>
      <c r="N308" s="27" t="str">
        <f t="shared" si="31"/>
        <v>Alone</v>
      </c>
      <c r="O308" s="27" t="str">
        <f t="shared" si="32"/>
        <v>High Fare</v>
      </c>
      <c r="P308" s="27" t="str">
        <f t="shared" si="33"/>
        <v>First Class</v>
      </c>
      <c r="Q308" s="27">
        <f t="shared" si="34"/>
        <v>2</v>
      </c>
    </row>
    <row r="309" spans="1:17" x14ac:dyDescent="0.3">
      <c r="A309" s="16">
        <v>308</v>
      </c>
      <c r="B309" s="16">
        <v>1</v>
      </c>
      <c r="C309" s="16">
        <v>1</v>
      </c>
      <c r="D309" s="11" t="s">
        <v>592</v>
      </c>
      <c r="E309" s="11" t="s">
        <v>14</v>
      </c>
      <c r="F309" s="25">
        <v>17</v>
      </c>
      <c r="G309" s="16">
        <v>1</v>
      </c>
      <c r="H309" s="16">
        <v>0</v>
      </c>
      <c r="I309" s="11" t="s">
        <v>593</v>
      </c>
      <c r="J309" s="21">
        <v>108.9</v>
      </c>
      <c r="K309" s="27" t="str">
        <f t="shared" si="28"/>
        <v>Survived</v>
      </c>
      <c r="L309" s="27" t="str">
        <f t="shared" si="29"/>
        <v>Child</v>
      </c>
      <c r="M309" s="28">
        <f t="shared" si="30"/>
        <v>2</v>
      </c>
      <c r="N309" s="27" t="str">
        <f t="shared" si="31"/>
        <v>Small Family</v>
      </c>
      <c r="O309" s="27" t="str">
        <f t="shared" si="32"/>
        <v>High Fare</v>
      </c>
      <c r="P309" s="27" t="str">
        <f t="shared" si="33"/>
        <v>First Class</v>
      </c>
      <c r="Q309" s="27">
        <f t="shared" si="34"/>
        <v>2</v>
      </c>
    </row>
    <row r="310" spans="1:17" x14ac:dyDescent="0.3">
      <c r="A310" s="15">
        <v>309</v>
      </c>
      <c r="B310" s="15">
        <v>0</v>
      </c>
      <c r="C310" s="15">
        <v>2</v>
      </c>
      <c r="D310" s="8" t="s">
        <v>594</v>
      </c>
      <c r="E310" s="8" t="s">
        <v>11</v>
      </c>
      <c r="F310" s="24">
        <v>30</v>
      </c>
      <c r="G310" s="15">
        <v>1</v>
      </c>
      <c r="H310" s="15">
        <v>0</v>
      </c>
      <c r="I310" s="8" t="s">
        <v>595</v>
      </c>
      <c r="J310" s="20">
        <v>24</v>
      </c>
      <c r="K310" s="27" t="str">
        <f t="shared" si="28"/>
        <v>Died</v>
      </c>
      <c r="L310" s="27" t="str">
        <f t="shared" si="29"/>
        <v>Young Adult</v>
      </c>
      <c r="M310" s="28">
        <f t="shared" si="30"/>
        <v>2</v>
      </c>
      <c r="N310" s="27" t="str">
        <f t="shared" si="31"/>
        <v>Small Family</v>
      </c>
      <c r="O310" s="27" t="str">
        <f t="shared" si="32"/>
        <v>Low Fare</v>
      </c>
      <c r="P310" s="27" t="str">
        <f t="shared" si="33"/>
        <v>Second Class</v>
      </c>
      <c r="Q310" s="27">
        <f t="shared" si="34"/>
        <v>1</v>
      </c>
    </row>
    <row r="311" spans="1:17" x14ac:dyDescent="0.3">
      <c r="A311" s="16">
        <v>310</v>
      </c>
      <c r="B311" s="16">
        <v>1</v>
      </c>
      <c r="C311" s="16">
        <v>1</v>
      </c>
      <c r="D311" s="11" t="s">
        <v>596</v>
      </c>
      <c r="E311" s="11" t="s">
        <v>14</v>
      </c>
      <c r="F311" s="25">
        <v>30</v>
      </c>
      <c r="G311" s="16">
        <v>0</v>
      </c>
      <c r="H311" s="16">
        <v>0</v>
      </c>
      <c r="I311" s="11" t="s">
        <v>597</v>
      </c>
      <c r="J311" s="21">
        <v>56.929200000000002</v>
      </c>
      <c r="K311" s="27" t="str">
        <f t="shared" si="28"/>
        <v>Survived</v>
      </c>
      <c r="L311" s="27" t="str">
        <f t="shared" si="29"/>
        <v>Young Adult</v>
      </c>
      <c r="M311" s="28">
        <f t="shared" si="30"/>
        <v>1</v>
      </c>
      <c r="N311" s="27" t="str">
        <f t="shared" si="31"/>
        <v>Alone</v>
      </c>
      <c r="O311" s="27" t="str">
        <f t="shared" si="32"/>
        <v>Medium Fare</v>
      </c>
      <c r="P311" s="27" t="str">
        <f t="shared" si="33"/>
        <v>First Class</v>
      </c>
      <c r="Q311" s="27">
        <f t="shared" si="34"/>
        <v>2</v>
      </c>
    </row>
    <row r="312" spans="1:17" x14ac:dyDescent="0.3">
      <c r="A312" s="15">
        <v>311</v>
      </c>
      <c r="B312" s="15">
        <v>1</v>
      </c>
      <c r="C312" s="15">
        <v>1</v>
      </c>
      <c r="D312" s="8" t="s">
        <v>598</v>
      </c>
      <c r="E312" s="8" t="s">
        <v>14</v>
      </c>
      <c r="F312" s="24">
        <v>24</v>
      </c>
      <c r="G312" s="15">
        <v>0</v>
      </c>
      <c r="H312" s="15">
        <v>0</v>
      </c>
      <c r="I312" s="8" t="s">
        <v>599</v>
      </c>
      <c r="J312" s="20">
        <v>83.158299999999997</v>
      </c>
      <c r="K312" s="27" t="str">
        <f t="shared" si="28"/>
        <v>Survived</v>
      </c>
      <c r="L312" s="27" t="str">
        <f t="shared" si="29"/>
        <v>Young Adult</v>
      </c>
      <c r="M312" s="28">
        <f t="shared" si="30"/>
        <v>1</v>
      </c>
      <c r="N312" s="27" t="str">
        <f t="shared" si="31"/>
        <v>Alone</v>
      </c>
      <c r="O312" s="27" t="str">
        <f t="shared" si="32"/>
        <v>Medium Fare</v>
      </c>
      <c r="P312" s="27" t="str">
        <f t="shared" si="33"/>
        <v>First Class</v>
      </c>
      <c r="Q312" s="27">
        <f t="shared" si="34"/>
        <v>2</v>
      </c>
    </row>
    <row r="313" spans="1:17" x14ac:dyDescent="0.3">
      <c r="A313" s="16">
        <v>312</v>
      </c>
      <c r="B313" s="16">
        <v>1</v>
      </c>
      <c r="C313" s="16">
        <v>1</v>
      </c>
      <c r="D313" s="11" t="s">
        <v>600</v>
      </c>
      <c r="E313" s="11" t="s">
        <v>14</v>
      </c>
      <c r="F313" s="25">
        <v>18</v>
      </c>
      <c r="G313" s="16">
        <v>2</v>
      </c>
      <c r="H313" s="16">
        <v>2</v>
      </c>
      <c r="I313" s="11" t="s">
        <v>601</v>
      </c>
      <c r="J313" s="21">
        <v>262.375</v>
      </c>
      <c r="K313" s="27" t="str">
        <f t="shared" si="28"/>
        <v>Survived</v>
      </c>
      <c r="L313" s="27" t="str">
        <f t="shared" si="29"/>
        <v>Young Adult</v>
      </c>
      <c r="M313" s="28">
        <f t="shared" si="30"/>
        <v>5</v>
      </c>
      <c r="N313" s="27" t="str">
        <f t="shared" si="31"/>
        <v>Large Family</v>
      </c>
      <c r="O313" s="27" t="str">
        <f t="shared" si="32"/>
        <v>High Fare</v>
      </c>
      <c r="P313" s="27" t="str">
        <f t="shared" si="33"/>
        <v>First Class</v>
      </c>
      <c r="Q313" s="27">
        <f t="shared" si="34"/>
        <v>2</v>
      </c>
    </row>
    <row r="314" spans="1:17" x14ac:dyDescent="0.3">
      <c r="A314" s="15">
        <v>313</v>
      </c>
      <c r="B314" s="15">
        <v>0</v>
      </c>
      <c r="C314" s="15">
        <v>2</v>
      </c>
      <c r="D314" s="8" t="s">
        <v>602</v>
      </c>
      <c r="E314" s="8" t="s">
        <v>14</v>
      </c>
      <c r="F314" s="24">
        <v>26</v>
      </c>
      <c r="G314" s="15">
        <v>1</v>
      </c>
      <c r="H314" s="15">
        <v>1</v>
      </c>
      <c r="I314" s="8" t="s">
        <v>603</v>
      </c>
      <c r="J314" s="20">
        <v>26</v>
      </c>
      <c r="K314" s="27" t="str">
        <f t="shared" si="28"/>
        <v>Died</v>
      </c>
      <c r="L314" s="27" t="str">
        <f t="shared" si="29"/>
        <v>Young Adult</v>
      </c>
      <c r="M314" s="28">
        <f t="shared" si="30"/>
        <v>3</v>
      </c>
      <c r="N314" s="27" t="str">
        <f t="shared" si="31"/>
        <v>Small Family</v>
      </c>
      <c r="O314" s="27" t="str">
        <f t="shared" si="32"/>
        <v>Medium Fare</v>
      </c>
      <c r="P314" s="27" t="str">
        <f t="shared" si="33"/>
        <v>Second Class</v>
      </c>
      <c r="Q314" s="27">
        <f t="shared" si="34"/>
        <v>2</v>
      </c>
    </row>
    <row r="315" spans="1:17" x14ac:dyDescent="0.3">
      <c r="A315" s="16">
        <v>314</v>
      </c>
      <c r="B315" s="16">
        <v>0</v>
      </c>
      <c r="C315" s="16">
        <v>3</v>
      </c>
      <c r="D315" s="11" t="s">
        <v>604</v>
      </c>
      <c r="E315" s="11" t="s">
        <v>11</v>
      </c>
      <c r="F315" s="25">
        <v>28</v>
      </c>
      <c r="G315" s="16">
        <v>0</v>
      </c>
      <c r="H315" s="16">
        <v>0</v>
      </c>
      <c r="I315" s="11" t="s">
        <v>605</v>
      </c>
      <c r="J315" s="21">
        <v>7.8958000000000004</v>
      </c>
      <c r="K315" s="27" t="str">
        <f t="shared" si="28"/>
        <v>Died</v>
      </c>
      <c r="L315" s="27" t="str">
        <f t="shared" si="29"/>
        <v>Young Adult</v>
      </c>
      <c r="M315" s="28">
        <f t="shared" si="30"/>
        <v>1</v>
      </c>
      <c r="N315" s="27" t="str">
        <f t="shared" si="31"/>
        <v>Alone</v>
      </c>
      <c r="O315" s="27" t="str">
        <f t="shared" si="32"/>
        <v>Low Fare</v>
      </c>
      <c r="P315" s="27" t="str">
        <f t="shared" si="33"/>
        <v>Third Class</v>
      </c>
      <c r="Q315" s="27">
        <f t="shared" si="34"/>
        <v>1</v>
      </c>
    </row>
    <row r="316" spans="1:17" x14ac:dyDescent="0.3">
      <c r="A316" s="15">
        <v>315</v>
      </c>
      <c r="B316" s="15">
        <v>0</v>
      </c>
      <c r="C316" s="15">
        <v>2</v>
      </c>
      <c r="D316" s="8" t="s">
        <v>606</v>
      </c>
      <c r="E316" s="8" t="s">
        <v>11</v>
      </c>
      <c r="F316" s="24">
        <v>43</v>
      </c>
      <c r="G316" s="15">
        <v>1</v>
      </c>
      <c r="H316" s="15">
        <v>1</v>
      </c>
      <c r="I316" s="8" t="s">
        <v>607</v>
      </c>
      <c r="J316" s="20">
        <v>26.25</v>
      </c>
      <c r="K316" s="27" t="str">
        <f t="shared" si="28"/>
        <v>Died</v>
      </c>
      <c r="L316" s="27" t="str">
        <f t="shared" si="29"/>
        <v>Adult</v>
      </c>
      <c r="M316" s="28">
        <f t="shared" si="30"/>
        <v>3</v>
      </c>
      <c r="N316" s="27" t="str">
        <f t="shared" si="31"/>
        <v>Small Family</v>
      </c>
      <c r="O316" s="27" t="str">
        <f t="shared" si="32"/>
        <v>Medium Fare</v>
      </c>
      <c r="P316" s="27" t="str">
        <f t="shared" si="33"/>
        <v>Second Class</v>
      </c>
      <c r="Q316" s="27">
        <f t="shared" si="34"/>
        <v>1</v>
      </c>
    </row>
    <row r="317" spans="1:17" x14ac:dyDescent="0.3">
      <c r="A317" s="16">
        <v>316</v>
      </c>
      <c r="B317" s="16">
        <v>1</v>
      </c>
      <c r="C317" s="16">
        <v>3</v>
      </c>
      <c r="D317" s="11" t="s">
        <v>608</v>
      </c>
      <c r="E317" s="11" t="s">
        <v>14</v>
      </c>
      <c r="F317" s="25">
        <v>26</v>
      </c>
      <c r="G317" s="16">
        <v>0</v>
      </c>
      <c r="H317" s="16">
        <v>0</v>
      </c>
      <c r="I317" s="11" t="s">
        <v>609</v>
      </c>
      <c r="J317" s="21">
        <v>7.8541999999999996</v>
      </c>
      <c r="K317" s="27" t="str">
        <f t="shared" si="28"/>
        <v>Survived</v>
      </c>
      <c r="L317" s="27" t="str">
        <f t="shared" si="29"/>
        <v>Young Adult</v>
      </c>
      <c r="M317" s="28">
        <f t="shared" si="30"/>
        <v>1</v>
      </c>
      <c r="N317" s="27" t="str">
        <f t="shared" si="31"/>
        <v>Alone</v>
      </c>
      <c r="O317" s="27" t="str">
        <f t="shared" si="32"/>
        <v>Low Fare</v>
      </c>
      <c r="P317" s="27" t="str">
        <f t="shared" si="33"/>
        <v>Third Class</v>
      </c>
      <c r="Q317" s="27">
        <f t="shared" si="34"/>
        <v>2</v>
      </c>
    </row>
    <row r="318" spans="1:17" x14ac:dyDescent="0.3">
      <c r="A318" s="15">
        <v>317</v>
      </c>
      <c r="B318" s="15">
        <v>1</v>
      </c>
      <c r="C318" s="15">
        <v>2</v>
      </c>
      <c r="D318" s="8" t="s">
        <v>610</v>
      </c>
      <c r="E318" s="8" t="s">
        <v>14</v>
      </c>
      <c r="F318" s="24">
        <v>24</v>
      </c>
      <c r="G318" s="15">
        <v>1</v>
      </c>
      <c r="H318" s="15">
        <v>0</v>
      </c>
      <c r="I318" s="8" t="s">
        <v>208</v>
      </c>
      <c r="J318" s="20">
        <v>26</v>
      </c>
      <c r="K318" s="27" t="str">
        <f t="shared" si="28"/>
        <v>Survived</v>
      </c>
      <c r="L318" s="27" t="str">
        <f t="shared" si="29"/>
        <v>Young Adult</v>
      </c>
      <c r="M318" s="28">
        <f t="shared" si="30"/>
        <v>2</v>
      </c>
      <c r="N318" s="27" t="str">
        <f t="shared" si="31"/>
        <v>Small Family</v>
      </c>
      <c r="O318" s="27" t="str">
        <f t="shared" si="32"/>
        <v>Medium Fare</v>
      </c>
      <c r="P318" s="27" t="str">
        <f t="shared" si="33"/>
        <v>Second Class</v>
      </c>
      <c r="Q318" s="27">
        <f t="shared" si="34"/>
        <v>2</v>
      </c>
    </row>
    <row r="319" spans="1:17" x14ac:dyDescent="0.3">
      <c r="A319" s="16">
        <v>318</v>
      </c>
      <c r="B319" s="16">
        <v>0</v>
      </c>
      <c r="C319" s="16">
        <v>2</v>
      </c>
      <c r="D319" s="11" t="s">
        <v>611</v>
      </c>
      <c r="E319" s="11" t="s">
        <v>11</v>
      </c>
      <c r="F319" s="25">
        <v>54</v>
      </c>
      <c r="G319" s="16">
        <v>0</v>
      </c>
      <c r="H319" s="16">
        <v>0</v>
      </c>
      <c r="I319" s="11" t="s">
        <v>612</v>
      </c>
      <c r="J319" s="21">
        <v>14</v>
      </c>
      <c r="K319" s="27" t="str">
        <f t="shared" si="28"/>
        <v>Died</v>
      </c>
      <c r="L319" s="27" t="str">
        <f t="shared" si="29"/>
        <v>Adult</v>
      </c>
      <c r="M319" s="28">
        <f t="shared" si="30"/>
        <v>1</v>
      </c>
      <c r="N319" s="27" t="str">
        <f t="shared" si="31"/>
        <v>Alone</v>
      </c>
      <c r="O319" s="27" t="str">
        <f t="shared" si="32"/>
        <v>Low Fare</v>
      </c>
      <c r="P319" s="27" t="str">
        <f t="shared" si="33"/>
        <v>Second Class</v>
      </c>
      <c r="Q319" s="27">
        <f t="shared" si="34"/>
        <v>1</v>
      </c>
    </row>
    <row r="320" spans="1:17" x14ac:dyDescent="0.3">
      <c r="A320" s="15">
        <v>319</v>
      </c>
      <c r="B320" s="15">
        <v>1</v>
      </c>
      <c r="C320" s="15">
        <v>1</v>
      </c>
      <c r="D320" s="8" t="s">
        <v>613</v>
      </c>
      <c r="E320" s="8" t="s">
        <v>14</v>
      </c>
      <c r="F320" s="24">
        <v>31</v>
      </c>
      <c r="G320" s="15">
        <v>0</v>
      </c>
      <c r="H320" s="15">
        <v>2</v>
      </c>
      <c r="I320" s="8" t="s">
        <v>614</v>
      </c>
      <c r="J320" s="20">
        <v>164.86670000000001</v>
      </c>
      <c r="K320" s="27" t="str">
        <f t="shared" si="28"/>
        <v>Survived</v>
      </c>
      <c r="L320" s="27" t="str">
        <f t="shared" si="29"/>
        <v>Young Adult</v>
      </c>
      <c r="M320" s="28">
        <f t="shared" si="30"/>
        <v>3</v>
      </c>
      <c r="N320" s="27" t="str">
        <f t="shared" si="31"/>
        <v>Small Family</v>
      </c>
      <c r="O320" s="27" t="str">
        <f t="shared" si="32"/>
        <v>High Fare</v>
      </c>
      <c r="P320" s="27" t="str">
        <f t="shared" si="33"/>
        <v>First Class</v>
      </c>
      <c r="Q320" s="27">
        <f t="shared" si="34"/>
        <v>2</v>
      </c>
    </row>
    <row r="321" spans="1:17" x14ac:dyDescent="0.3">
      <c r="A321" s="16">
        <v>320</v>
      </c>
      <c r="B321" s="16">
        <v>1</v>
      </c>
      <c r="C321" s="16">
        <v>1</v>
      </c>
      <c r="D321" s="11" t="s">
        <v>615</v>
      </c>
      <c r="E321" s="11" t="s">
        <v>14</v>
      </c>
      <c r="F321" s="25">
        <v>40</v>
      </c>
      <c r="G321" s="16">
        <v>1</v>
      </c>
      <c r="H321" s="16">
        <v>1</v>
      </c>
      <c r="I321" s="11" t="s">
        <v>616</v>
      </c>
      <c r="J321" s="21">
        <v>134.5</v>
      </c>
      <c r="K321" s="27" t="str">
        <f t="shared" si="28"/>
        <v>Survived</v>
      </c>
      <c r="L321" s="27" t="str">
        <f t="shared" si="29"/>
        <v>Adult</v>
      </c>
      <c r="M321" s="28">
        <f t="shared" si="30"/>
        <v>3</v>
      </c>
      <c r="N321" s="27" t="str">
        <f t="shared" si="31"/>
        <v>Small Family</v>
      </c>
      <c r="O321" s="27" t="str">
        <f t="shared" si="32"/>
        <v>High Fare</v>
      </c>
      <c r="P321" s="27" t="str">
        <f t="shared" si="33"/>
        <v>First Class</v>
      </c>
      <c r="Q321" s="27">
        <f t="shared" si="34"/>
        <v>2</v>
      </c>
    </row>
    <row r="322" spans="1:17" x14ac:dyDescent="0.3">
      <c r="A322" s="15">
        <v>321</v>
      </c>
      <c r="B322" s="15">
        <v>0</v>
      </c>
      <c r="C322" s="15">
        <v>3</v>
      </c>
      <c r="D322" s="8" t="s">
        <v>617</v>
      </c>
      <c r="E322" s="8" t="s">
        <v>11</v>
      </c>
      <c r="F322" s="24">
        <v>22</v>
      </c>
      <c r="G322" s="15">
        <v>0</v>
      </c>
      <c r="H322" s="15">
        <v>0</v>
      </c>
      <c r="I322" s="8" t="s">
        <v>618</v>
      </c>
      <c r="J322" s="20">
        <v>7.25</v>
      </c>
      <c r="K322" s="27" t="str">
        <f t="shared" ref="K322:K385" si="35">IF(B322=1, "Survived", "Died")</f>
        <v>Died</v>
      </c>
      <c r="L322" s="27" t="str">
        <f t="shared" ref="L322:L385" si="36">IF(F322&lt;18, "Child", IF(F322&lt;35, "Young Adult", IF(F322&lt;60, "Adult", "Senior")))</f>
        <v>Young Adult</v>
      </c>
      <c r="M322" s="28">
        <f t="shared" ref="M322:M385" si="37">G322+H322+1</f>
        <v>1</v>
      </c>
      <c r="N322" s="27" t="str">
        <f t="shared" ref="N322:N385" si="38">IF(M322=1,"Alone",IF(M322&lt;=4,"Small Family","Large Family"))</f>
        <v>Alone</v>
      </c>
      <c r="O322" s="27" t="str">
        <f t="shared" ref="O322:O385" si="39">IF(J322&lt;25, "Low Fare", IF(J322&lt;=100, "Medium Fare", "High Fare"))</f>
        <v>Low Fare</v>
      </c>
      <c r="P322" s="27" t="str">
        <f t="shared" ref="P322:P385" si="40">IF(C322=1, "First Class", IF(C322=2, "Second Class", "Third Class"))</f>
        <v>Third Class</v>
      </c>
      <c r="Q322" s="27">
        <f t="shared" ref="Q322:Q385" si="41">IF(E322="male", 1, 2)</f>
        <v>1</v>
      </c>
    </row>
    <row r="323" spans="1:17" x14ac:dyDescent="0.3">
      <c r="A323" s="16">
        <v>322</v>
      </c>
      <c r="B323" s="16">
        <v>0</v>
      </c>
      <c r="C323" s="16">
        <v>3</v>
      </c>
      <c r="D323" s="11" t="s">
        <v>619</v>
      </c>
      <c r="E323" s="11" t="s">
        <v>11</v>
      </c>
      <c r="F323" s="25">
        <v>27</v>
      </c>
      <c r="G323" s="16">
        <v>0</v>
      </c>
      <c r="H323" s="16">
        <v>0</v>
      </c>
      <c r="I323" s="11" t="s">
        <v>620</v>
      </c>
      <c r="J323" s="21">
        <v>7.8958000000000004</v>
      </c>
      <c r="K323" s="27" t="str">
        <f t="shared" si="35"/>
        <v>Died</v>
      </c>
      <c r="L323" s="27" t="str">
        <f t="shared" si="36"/>
        <v>Young Adult</v>
      </c>
      <c r="M323" s="28">
        <f t="shared" si="37"/>
        <v>1</v>
      </c>
      <c r="N323" s="27" t="str">
        <f t="shared" si="38"/>
        <v>Alone</v>
      </c>
      <c r="O323" s="27" t="str">
        <f t="shared" si="39"/>
        <v>Low Fare</v>
      </c>
      <c r="P323" s="27" t="str">
        <f t="shared" si="40"/>
        <v>Third Class</v>
      </c>
      <c r="Q323" s="27">
        <f t="shared" si="41"/>
        <v>1</v>
      </c>
    </row>
    <row r="324" spans="1:17" x14ac:dyDescent="0.3">
      <c r="A324" s="15">
        <v>323</v>
      </c>
      <c r="B324" s="15">
        <v>1</v>
      </c>
      <c r="C324" s="15">
        <v>2</v>
      </c>
      <c r="D324" s="8" t="s">
        <v>621</v>
      </c>
      <c r="E324" s="8" t="s">
        <v>14</v>
      </c>
      <c r="F324" s="24">
        <v>30</v>
      </c>
      <c r="G324" s="15">
        <v>0</v>
      </c>
      <c r="H324" s="15">
        <v>0</v>
      </c>
      <c r="I324" s="8" t="s">
        <v>622</v>
      </c>
      <c r="J324" s="20">
        <v>12.35</v>
      </c>
      <c r="K324" s="27" t="str">
        <f t="shared" si="35"/>
        <v>Survived</v>
      </c>
      <c r="L324" s="27" t="str">
        <f t="shared" si="36"/>
        <v>Young Adult</v>
      </c>
      <c r="M324" s="28">
        <f t="shared" si="37"/>
        <v>1</v>
      </c>
      <c r="N324" s="27" t="str">
        <f t="shared" si="38"/>
        <v>Alone</v>
      </c>
      <c r="O324" s="27" t="str">
        <f t="shared" si="39"/>
        <v>Low Fare</v>
      </c>
      <c r="P324" s="27" t="str">
        <f t="shared" si="40"/>
        <v>Second Class</v>
      </c>
      <c r="Q324" s="27">
        <f t="shared" si="41"/>
        <v>2</v>
      </c>
    </row>
    <row r="325" spans="1:17" x14ac:dyDescent="0.3">
      <c r="A325" s="16">
        <v>324</v>
      </c>
      <c r="B325" s="16">
        <v>1</v>
      </c>
      <c r="C325" s="16">
        <v>2</v>
      </c>
      <c r="D325" s="11" t="s">
        <v>623</v>
      </c>
      <c r="E325" s="11" t="s">
        <v>14</v>
      </c>
      <c r="F325" s="25">
        <v>22</v>
      </c>
      <c r="G325" s="16">
        <v>1</v>
      </c>
      <c r="H325" s="16">
        <v>1</v>
      </c>
      <c r="I325" s="11" t="s">
        <v>167</v>
      </c>
      <c r="J325" s="21">
        <v>29</v>
      </c>
      <c r="K325" s="27" t="str">
        <f t="shared" si="35"/>
        <v>Survived</v>
      </c>
      <c r="L325" s="27" t="str">
        <f t="shared" si="36"/>
        <v>Young Adult</v>
      </c>
      <c r="M325" s="28">
        <f t="shared" si="37"/>
        <v>3</v>
      </c>
      <c r="N325" s="27" t="str">
        <f t="shared" si="38"/>
        <v>Small Family</v>
      </c>
      <c r="O325" s="27" t="str">
        <f t="shared" si="39"/>
        <v>Medium Fare</v>
      </c>
      <c r="P325" s="27" t="str">
        <f t="shared" si="40"/>
        <v>Second Class</v>
      </c>
      <c r="Q325" s="27">
        <f t="shared" si="41"/>
        <v>2</v>
      </c>
    </row>
    <row r="326" spans="1:17" x14ac:dyDescent="0.3">
      <c r="A326" s="15">
        <v>325</v>
      </c>
      <c r="B326" s="15">
        <v>0</v>
      </c>
      <c r="C326" s="15">
        <v>3</v>
      </c>
      <c r="D326" s="8" t="s">
        <v>624</v>
      </c>
      <c r="E326" s="8" t="s">
        <v>11</v>
      </c>
      <c r="F326" s="24">
        <v>26</v>
      </c>
      <c r="G326" s="15">
        <v>8</v>
      </c>
      <c r="H326" s="15">
        <v>2</v>
      </c>
      <c r="I326" s="8" t="s">
        <v>320</v>
      </c>
      <c r="J326" s="20">
        <v>69.55</v>
      </c>
      <c r="K326" s="27" t="str">
        <f t="shared" si="35"/>
        <v>Died</v>
      </c>
      <c r="L326" s="27" t="str">
        <f t="shared" si="36"/>
        <v>Young Adult</v>
      </c>
      <c r="M326" s="28">
        <f t="shared" si="37"/>
        <v>11</v>
      </c>
      <c r="N326" s="27" t="str">
        <f t="shared" si="38"/>
        <v>Large Family</v>
      </c>
      <c r="O326" s="27" t="str">
        <f t="shared" si="39"/>
        <v>Medium Fare</v>
      </c>
      <c r="P326" s="27" t="str">
        <f t="shared" si="40"/>
        <v>Third Class</v>
      </c>
      <c r="Q326" s="27">
        <f t="shared" si="41"/>
        <v>1</v>
      </c>
    </row>
    <row r="327" spans="1:17" x14ac:dyDescent="0.3">
      <c r="A327" s="16">
        <v>326</v>
      </c>
      <c r="B327" s="16">
        <v>1</v>
      </c>
      <c r="C327" s="16">
        <v>1</v>
      </c>
      <c r="D327" s="11" t="s">
        <v>625</v>
      </c>
      <c r="E327" s="11" t="s">
        <v>14</v>
      </c>
      <c r="F327" s="25">
        <v>36</v>
      </c>
      <c r="G327" s="16">
        <v>0</v>
      </c>
      <c r="H327" s="16">
        <v>0</v>
      </c>
      <c r="I327" s="11" t="s">
        <v>522</v>
      </c>
      <c r="J327" s="21">
        <v>135.63329999999999</v>
      </c>
      <c r="K327" s="27" t="str">
        <f t="shared" si="35"/>
        <v>Survived</v>
      </c>
      <c r="L327" s="27" t="str">
        <f t="shared" si="36"/>
        <v>Adult</v>
      </c>
      <c r="M327" s="28">
        <f t="shared" si="37"/>
        <v>1</v>
      </c>
      <c r="N327" s="27" t="str">
        <f t="shared" si="38"/>
        <v>Alone</v>
      </c>
      <c r="O327" s="27" t="str">
        <f t="shared" si="39"/>
        <v>High Fare</v>
      </c>
      <c r="P327" s="27" t="str">
        <f t="shared" si="40"/>
        <v>First Class</v>
      </c>
      <c r="Q327" s="27">
        <f t="shared" si="41"/>
        <v>2</v>
      </c>
    </row>
    <row r="328" spans="1:17" x14ac:dyDescent="0.3">
      <c r="A328" s="15">
        <v>327</v>
      </c>
      <c r="B328" s="15">
        <v>0</v>
      </c>
      <c r="C328" s="15">
        <v>3</v>
      </c>
      <c r="D328" s="8" t="s">
        <v>626</v>
      </c>
      <c r="E328" s="8" t="s">
        <v>11</v>
      </c>
      <c r="F328" s="24">
        <v>61</v>
      </c>
      <c r="G328" s="15">
        <v>0</v>
      </c>
      <c r="H328" s="15">
        <v>0</v>
      </c>
      <c r="I328" s="8" t="s">
        <v>627</v>
      </c>
      <c r="J328" s="20">
        <v>6.2374999999999998</v>
      </c>
      <c r="K328" s="27" t="str">
        <f t="shared" si="35"/>
        <v>Died</v>
      </c>
      <c r="L328" s="27" t="str">
        <f t="shared" si="36"/>
        <v>Senior</v>
      </c>
      <c r="M328" s="28">
        <f t="shared" si="37"/>
        <v>1</v>
      </c>
      <c r="N328" s="27" t="str">
        <f t="shared" si="38"/>
        <v>Alone</v>
      </c>
      <c r="O328" s="27" t="str">
        <f t="shared" si="39"/>
        <v>Low Fare</v>
      </c>
      <c r="P328" s="27" t="str">
        <f t="shared" si="40"/>
        <v>Third Class</v>
      </c>
      <c r="Q328" s="27">
        <f t="shared" si="41"/>
        <v>1</v>
      </c>
    </row>
    <row r="329" spans="1:17" x14ac:dyDescent="0.3">
      <c r="A329" s="16">
        <v>328</v>
      </c>
      <c r="B329" s="16">
        <v>1</v>
      </c>
      <c r="C329" s="16">
        <v>2</v>
      </c>
      <c r="D329" s="11" t="s">
        <v>628</v>
      </c>
      <c r="E329" s="11" t="s">
        <v>14</v>
      </c>
      <c r="F329" s="25">
        <v>36</v>
      </c>
      <c r="G329" s="16">
        <v>0</v>
      </c>
      <c r="H329" s="16">
        <v>0</v>
      </c>
      <c r="I329" s="11" t="s">
        <v>629</v>
      </c>
      <c r="J329" s="21">
        <v>13</v>
      </c>
      <c r="K329" s="27" t="str">
        <f t="shared" si="35"/>
        <v>Survived</v>
      </c>
      <c r="L329" s="27" t="str">
        <f t="shared" si="36"/>
        <v>Adult</v>
      </c>
      <c r="M329" s="28">
        <f t="shared" si="37"/>
        <v>1</v>
      </c>
      <c r="N329" s="27" t="str">
        <f t="shared" si="38"/>
        <v>Alone</v>
      </c>
      <c r="O329" s="27" t="str">
        <f t="shared" si="39"/>
        <v>Low Fare</v>
      </c>
      <c r="P329" s="27" t="str">
        <f t="shared" si="40"/>
        <v>Second Class</v>
      </c>
      <c r="Q329" s="27">
        <f t="shared" si="41"/>
        <v>2</v>
      </c>
    </row>
    <row r="330" spans="1:17" x14ac:dyDescent="0.3">
      <c r="A330" s="15">
        <v>329</v>
      </c>
      <c r="B330" s="15">
        <v>1</v>
      </c>
      <c r="C330" s="15">
        <v>3</v>
      </c>
      <c r="D330" s="8" t="s">
        <v>630</v>
      </c>
      <c r="E330" s="8" t="s">
        <v>14</v>
      </c>
      <c r="F330" s="24">
        <v>31</v>
      </c>
      <c r="G330" s="15">
        <v>1</v>
      </c>
      <c r="H330" s="15">
        <v>1</v>
      </c>
      <c r="I330" s="8" t="s">
        <v>331</v>
      </c>
      <c r="J330" s="20">
        <v>20.524999999999999</v>
      </c>
      <c r="K330" s="27" t="str">
        <f t="shared" si="35"/>
        <v>Survived</v>
      </c>
      <c r="L330" s="27" t="str">
        <f t="shared" si="36"/>
        <v>Young Adult</v>
      </c>
      <c r="M330" s="28">
        <f t="shared" si="37"/>
        <v>3</v>
      </c>
      <c r="N330" s="27" t="str">
        <f t="shared" si="38"/>
        <v>Small Family</v>
      </c>
      <c r="O330" s="27" t="str">
        <f t="shared" si="39"/>
        <v>Low Fare</v>
      </c>
      <c r="P330" s="27" t="str">
        <f t="shared" si="40"/>
        <v>Third Class</v>
      </c>
      <c r="Q330" s="27">
        <f t="shared" si="41"/>
        <v>2</v>
      </c>
    </row>
    <row r="331" spans="1:17" x14ac:dyDescent="0.3">
      <c r="A331" s="16">
        <v>330</v>
      </c>
      <c r="B331" s="16">
        <v>1</v>
      </c>
      <c r="C331" s="16">
        <v>1</v>
      </c>
      <c r="D331" s="11" t="s">
        <v>631</v>
      </c>
      <c r="E331" s="11" t="s">
        <v>14</v>
      </c>
      <c r="F331" s="25">
        <v>16</v>
      </c>
      <c r="G331" s="16">
        <v>0</v>
      </c>
      <c r="H331" s="16">
        <v>1</v>
      </c>
      <c r="I331" s="11" t="s">
        <v>632</v>
      </c>
      <c r="J331" s="21">
        <v>57.979199999999999</v>
      </c>
      <c r="K331" s="27" t="str">
        <f t="shared" si="35"/>
        <v>Survived</v>
      </c>
      <c r="L331" s="27" t="str">
        <f t="shared" si="36"/>
        <v>Child</v>
      </c>
      <c r="M331" s="28">
        <f t="shared" si="37"/>
        <v>2</v>
      </c>
      <c r="N331" s="27" t="str">
        <f t="shared" si="38"/>
        <v>Small Family</v>
      </c>
      <c r="O331" s="27" t="str">
        <f t="shared" si="39"/>
        <v>Medium Fare</v>
      </c>
      <c r="P331" s="27" t="str">
        <f t="shared" si="40"/>
        <v>First Class</v>
      </c>
      <c r="Q331" s="27">
        <f t="shared" si="41"/>
        <v>2</v>
      </c>
    </row>
    <row r="332" spans="1:17" x14ac:dyDescent="0.3">
      <c r="A332" s="15">
        <v>331</v>
      </c>
      <c r="B332" s="15">
        <v>1</v>
      </c>
      <c r="C332" s="15">
        <v>3</v>
      </c>
      <c r="D332" s="8" t="s">
        <v>633</v>
      </c>
      <c r="E332" s="8" t="s">
        <v>14</v>
      </c>
      <c r="F332" s="24">
        <v>26</v>
      </c>
      <c r="G332" s="15">
        <v>2</v>
      </c>
      <c r="H332" s="15">
        <v>0</v>
      </c>
      <c r="I332" s="8" t="s">
        <v>583</v>
      </c>
      <c r="J332" s="20">
        <v>23.25</v>
      </c>
      <c r="K332" s="27" t="str">
        <f t="shared" si="35"/>
        <v>Survived</v>
      </c>
      <c r="L332" s="27" t="str">
        <f t="shared" si="36"/>
        <v>Young Adult</v>
      </c>
      <c r="M332" s="28">
        <f t="shared" si="37"/>
        <v>3</v>
      </c>
      <c r="N332" s="27" t="str">
        <f t="shared" si="38"/>
        <v>Small Family</v>
      </c>
      <c r="O332" s="27" t="str">
        <f t="shared" si="39"/>
        <v>Low Fare</v>
      </c>
      <c r="P332" s="27" t="str">
        <f t="shared" si="40"/>
        <v>Third Class</v>
      </c>
      <c r="Q332" s="27">
        <f t="shared" si="41"/>
        <v>2</v>
      </c>
    </row>
    <row r="333" spans="1:17" x14ac:dyDescent="0.3">
      <c r="A333" s="16">
        <v>332</v>
      </c>
      <c r="B333" s="16">
        <v>0</v>
      </c>
      <c r="C333" s="16">
        <v>1</v>
      </c>
      <c r="D333" s="11" t="s">
        <v>634</v>
      </c>
      <c r="E333" s="11" t="s">
        <v>11</v>
      </c>
      <c r="F333" s="25">
        <v>45.5</v>
      </c>
      <c r="G333" s="16">
        <v>0</v>
      </c>
      <c r="H333" s="16">
        <v>0</v>
      </c>
      <c r="I333" s="11" t="s">
        <v>635</v>
      </c>
      <c r="J333" s="21">
        <v>28.5</v>
      </c>
      <c r="K333" s="27" t="str">
        <f t="shared" si="35"/>
        <v>Died</v>
      </c>
      <c r="L333" s="27" t="str">
        <f t="shared" si="36"/>
        <v>Adult</v>
      </c>
      <c r="M333" s="28">
        <f t="shared" si="37"/>
        <v>1</v>
      </c>
      <c r="N333" s="27" t="str">
        <f t="shared" si="38"/>
        <v>Alone</v>
      </c>
      <c r="O333" s="27" t="str">
        <f t="shared" si="39"/>
        <v>Medium Fare</v>
      </c>
      <c r="P333" s="27" t="str">
        <f t="shared" si="40"/>
        <v>First Class</v>
      </c>
      <c r="Q333" s="27">
        <f t="shared" si="41"/>
        <v>1</v>
      </c>
    </row>
    <row r="334" spans="1:17" x14ac:dyDescent="0.3">
      <c r="A334" s="15">
        <v>333</v>
      </c>
      <c r="B334" s="15">
        <v>0</v>
      </c>
      <c r="C334" s="15">
        <v>1</v>
      </c>
      <c r="D334" s="8" t="s">
        <v>636</v>
      </c>
      <c r="E334" s="8" t="s">
        <v>11</v>
      </c>
      <c r="F334" s="24">
        <v>38</v>
      </c>
      <c r="G334" s="15">
        <v>0</v>
      </c>
      <c r="H334" s="15">
        <v>1</v>
      </c>
      <c r="I334" s="8" t="s">
        <v>520</v>
      </c>
      <c r="J334" s="20">
        <v>153.46250000000001</v>
      </c>
      <c r="K334" s="27" t="str">
        <f t="shared" si="35"/>
        <v>Died</v>
      </c>
      <c r="L334" s="27" t="str">
        <f t="shared" si="36"/>
        <v>Adult</v>
      </c>
      <c r="M334" s="28">
        <f t="shared" si="37"/>
        <v>2</v>
      </c>
      <c r="N334" s="27" t="str">
        <f t="shared" si="38"/>
        <v>Small Family</v>
      </c>
      <c r="O334" s="27" t="str">
        <f t="shared" si="39"/>
        <v>High Fare</v>
      </c>
      <c r="P334" s="27" t="str">
        <f t="shared" si="40"/>
        <v>First Class</v>
      </c>
      <c r="Q334" s="27">
        <f t="shared" si="41"/>
        <v>1</v>
      </c>
    </row>
    <row r="335" spans="1:17" x14ac:dyDescent="0.3">
      <c r="A335" s="16">
        <v>334</v>
      </c>
      <c r="B335" s="16">
        <v>0</v>
      </c>
      <c r="C335" s="16">
        <v>3</v>
      </c>
      <c r="D335" s="11" t="s">
        <v>637</v>
      </c>
      <c r="E335" s="11" t="s">
        <v>11</v>
      </c>
      <c r="F335" s="25">
        <v>16</v>
      </c>
      <c r="G335" s="16">
        <v>2</v>
      </c>
      <c r="H335" s="16">
        <v>0</v>
      </c>
      <c r="I335" s="11" t="s">
        <v>88</v>
      </c>
      <c r="J335" s="21">
        <v>18</v>
      </c>
      <c r="K335" s="27" t="str">
        <f t="shared" si="35"/>
        <v>Died</v>
      </c>
      <c r="L335" s="27" t="str">
        <f t="shared" si="36"/>
        <v>Child</v>
      </c>
      <c r="M335" s="28">
        <f t="shared" si="37"/>
        <v>3</v>
      </c>
      <c r="N335" s="27" t="str">
        <f t="shared" si="38"/>
        <v>Small Family</v>
      </c>
      <c r="O335" s="27" t="str">
        <f t="shared" si="39"/>
        <v>Low Fare</v>
      </c>
      <c r="P335" s="27" t="str">
        <f t="shared" si="40"/>
        <v>Third Class</v>
      </c>
      <c r="Q335" s="27">
        <f t="shared" si="41"/>
        <v>1</v>
      </c>
    </row>
    <row r="336" spans="1:17" x14ac:dyDescent="0.3">
      <c r="A336" s="15">
        <v>335</v>
      </c>
      <c r="B336" s="15">
        <v>1</v>
      </c>
      <c r="C336" s="15">
        <v>1</v>
      </c>
      <c r="D336" s="8" t="s">
        <v>638</v>
      </c>
      <c r="E336" s="8" t="s">
        <v>14</v>
      </c>
      <c r="F336" s="24">
        <v>26</v>
      </c>
      <c r="G336" s="15">
        <v>1</v>
      </c>
      <c r="H336" s="15">
        <v>0</v>
      </c>
      <c r="I336" s="8" t="s">
        <v>639</v>
      </c>
      <c r="J336" s="20">
        <v>133.65</v>
      </c>
      <c r="K336" s="27" t="str">
        <f t="shared" si="35"/>
        <v>Survived</v>
      </c>
      <c r="L336" s="27" t="str">
        <f t="shared" si="36"/>
        <v>Young Adult</v>
      </c>
      <c r="M336" s="28">
        <f t="shared" si="37"/>
        <v>2</v>
      </c>
      <c r="N336" s="27" t="str">
        <f t="shared" si="38"/>
        <v>Small Family</v>
      </c>
      <c r="O336" s="27" t="str">
        <f t="shared" si="39"/>
        <v>High Fare</v>
      </c>
      <c r="P336" s="27" t="str">
        <f t="shared" si="40"/>
        <v>First Class</v>
      </c>
      <c r="Q336" s="27">
        <f t="shared" si="41"/>
        <v>2</v>
      </c>
    </row>
    <row r="337" spans="1:17" x14ac:dyDescent="0.3">
      <c r="A337" s="16">
        <v>336</v>
      </c>
      <c r="B337" s="16">
        <v>0</v>
      </c>
      <c r="C337" s="16">
        <v>3</v>
      </c>
      <c r="D337" s="11" t="s">
        <v>640</v>
      </c>
      <c r="E337" s="11" t="s">
        <v>11</v>
      </c>
      <c r="F337" s="25">
        <v>26</v>
      </c>
      <c r="G337" s="16">
        <v>0</v>
      </c>
      <c r="H337" s="16">
        <v>0</v>
      </c>
      <c r="I337" s="11" t="s">
        <v>641</v>
      </c>
      <c r="J337" s="21">
        <v>7.8958000000000004</v>
      </c>
      <c r="K337" s="27" t="str">
        <f t="shared" si="35"/>
        <v>Died</v>
      </c>
      <c r="L337" s="27" t="str">
        <f t="shared" si="36"/>
        <v>Young Adult</v>
      </c>
      <c r="M337" s="28">
        <f t="shared" si="37"/>
        <v>1</v>
      </c>
      <c r="N337" s="27" t="str">
        <f t="shared" si="38"/>
        <v>Alone</v>
      </c>
      <c r="O337" s="27" t="str">
        <f t="shared" si="39"/>
        <v>Low Fare</v>
      </c>
      <c r="P337" s="27" t="str">
        <f t="shared" si="40"/>
        <v>Third Class</v>
      </c>
      <c r="Q337" s="27">
        <f t="shared" si="41"/>
        <v>1</v>
      </c>
    </row>
    <row r="338" spans="1:17" x14ac:dyDescent="0.3">
      <c r="A338" s="15">
        <v>337</v>
      </c>
      <c r="B338" s="15">
        <v>0</v>
      </c>
      <c r="C338" s="15">
        <v>1</v>
      </c>
      <c r="D338" s="8" t="s">
        <v>642</v>
      </c>
      <c r="E338" s="8" t="s">
        <v>11</v>
      </c>
      <c r="F338" s="24">
        <v>29</v>
      </c>
      <c r="G338" s="15">
        <v>1</v>
      </c>
      <c r="H338" s="15">
        <v>0</v>
      </c>
      <c r="I338" s="8" t="s">
        <v>304</v>
      </c>
      <c r="J338" s="20">
        <v>66.599999999999994</v>
      </c>
      <c r="K338" s="27" t="str">
        <f t="shared" si="35"/>
        <v>Died</v>
      </c>
      <c r="L338" s="27" t="str">
        <f t="shared" si="36"/>
        <v>Young Adult</v>
      </c>
      <c r="M338" s="28">
        <f t="shared" si="37"/>
        <v>2</v>
      </c>
      <c r="N338" s="27" t="str">
        <f t="shared" si="38"/>
        <v>Small Family</v>
      </c>
      <c r="O338" s="27" t="str">
        <f t="shared" si="39"/>
        <v>Medium Fare</v>
      </c>
      <c r="P338" s="27" t="str">
        <f t="shared" si="40"/>
        <v>First Class</v>
      </c>
      <c r="Q338" s="27">
        <f t="shared" si="41"/>
        <v>1</v>
      </c>
    </row>
    <row r="339" spans="1:17" x14ac:dyDescent="0.3">
      <c r="A339" s="16">
        <v>338</v>
      </c>
      <c r="B339" s="16">
        <v>1</v>
      </c>
      <c r="C339" s="16">
        <v>1</v>
      </c>
      <c r="D339" s="11" t="s">
        <v>643</v>
      </c>
      <c r="E339" s="11" t="s">
        <v>14</v>
      </c>
      <c r="F339" s="25">
        <v>41</v>
      </c>
      <c r="G339" s="16">
        <v>0</v>
      </c>
      <c r="H339" s="16">
        <v>0</v>
      </c>
      <c r="I339" s="11" t="s">
        <v>616</v>
      </c>
      <c r="J339" s="21">
        <v>134.5</v>
      </c>
      <c r="K339" s="27" t="str">
        <f t="shared" si="35"/>
        <v>Survived</v>
      </c>
      <c r="L339" s="27" t="str">
        <f t="shared" si="36"/>
        <v>Adult</v>
      </c>
      <c r="M339" s="28">
        <f t="shared" si="37"/>
        <v>1</v>
      </c>
      <c r="N339" s="27" t="str">
        <f t="shared" si="38"/>
        <v>Alone</v>
      </c>
      <c r="O339" s="27" t="str">
        <f t="shared" si="39"/>
        <v>High Fare</v>
      </c>
      <c r="P339" s="27" t="str">
        <f t="shared" si="40"/>
        <v>First Class</v>
      </c>
      <c r="Q339" s="27">
        <f t="shared" si="41"/>
        <v>2</v>
      </c>
    </row>
    <row r="340" spans="1:17" x14ac:dyDescent="0.3">
      <c r="A340" s="15">
        <v>339</v>
      </c>
      <c r="B340" s="15">
        <v>1</v>
      </c>
      <c r="C340" s="15">
        <v>3</v>
      </c>
      <c r="D340" s="8" t="s">
        <v>644</v>
      </c>
      <c r="E340" s="8" t="s">
        <v>11</v>
      </c>
      <c r="F340" s="24">
        <v>45</v>
      </c>
      <c r="G340" s="15">
        <v>0</v>
      </c>
      <c r="H340" s="15">
        <v>0</v>
      </c>
      <c r="I340" s="8" t="s">
        <v>645</v>
      </c>
      <c r="J340" s="20">
        <v>8.0500000000000007</v>
      </c>
      <c r="K340" s="27" t="str">
        <f t="shared" si="35"/>
        <v>Survived</v>
      </c>
      <c r="L340" s="27" t="str">
        <f t="shared" si="36"/>
        <v>Adult</v>
      </c>
      <c r="M340" s="28">
        <f t="shared" si="37"/>
        <v>1</v>
      </c>
      <c r="N340" s="27" t="str">
        <f t="shared" si="38"/>
        <v>Alone</v>
      </c>
      <c r="O340" s="27" t="str">
        <f t="shared" si="39"/>
        <v>Low Fare</v>
      </c>
      <c r="P340" s="27" t="str">
        <f t="shared" si="40"/>
        <v>Third Class</v>
      </c>
      <c r="Q340" s="27">
        <f t="shared" si="41"/>
        <v>1</v>
      </c>
    </row>
    <row r="341" spans="1:17" x14ac:dyDescent="0.3">
      <c r="A341" s="16">
        <v>340</v>
      </c>
      <c r="B341" s="16">
        <v>0</v>
      </c>
      <c r="C341" s="16">
        <v>1</v>
      </c>
      <c r="D341" s="11" t="s">
        <v>646</v>
      </c>
      <c r="E341" s="11" t="s">
        <v>11</v>
      </c>
      <c r="F341" s="25">
        <v>45</v>
      </c>
      <c r="G341" s="16">
        <v>0</v>
      </c>
      <c r="H341" s="16">
        <v>0</v>
      </c>
      <c r="I341" s="11" t="s">
        <v>647</v>
      </c>
      <c r="J341" s="21">
        <v>35.5</v>
      </c>
      <c r="K341" s="27" t="str">
        <f t="shared" si="35"/>
        <v>Died</v>
      </c>
      <c r="L341" s="27" t="str">
        <f t="shared" si="36"/>
        <v>Adult</v>
      </c>
      <c r="M341" s="28">
        <f t="shared" si="37"/>
        <v>1</v>
      </c>
      <c r="N341" s="27" t="str">
        <f t="shared" si="38"/>
        <v>Alone</v>
      </c>
      <c r="O341" s="27" t="str">
        <f t="shared" si="39"/>
        <v>Medium Fare</v>
      </c>
      <c r="P341" s="27" t="str">
        <f t="shared" si="40"/>
        <v>First Class</v>
      </c>
      <c r="Q341" s="27">
        <f t="shared" si="41"/>
        <v>1</v>
      </c>
    </row>
    <row r="342" spans="1:17" x14ac:dyDescent="0.3">
      <c r="A342" s="15">
        <v>341</v>
      </c>
      <c r="B342" s="15">
        <v>1</v>
      </c>
      <c r="C342" s="15">
        <v>2</v>
      </c>
      <c r="D342" s="8" t="s">
        <v>648</v>
      </c>
      <c r="E342" s="8" t="s">
        <v>11</v>
      </c>
      <c r="F342" s="24">
        <v>2</v>
      </c>
      <c r="G342" s="15">
        <v>1</v>
      </c>
      <c r="H342" s="15">
        <v>1</v>
      </c>
      <c r="I342" s="8" t="s">
        <v>298</v>
      </c>
      <c r="J342" s="20">
        <v>26</v>
      </c>
      <c r="K342" s="27" t="str">
        <f t="shared" si="35"/>
        <v>Survived</v>
      </c>
      <c r="L342" s="27" t="str">
        <f t="shared" si="36"/>
        <v>Child</v>
      </c>
      <c r="M342" s="28">
        <f t="shared" si="37"/>
        <v>3</v>
      </c>
      <c r="N342" s="27" t="str">
        <f t="shared" si="38"/>
        <v>Small Family</v>
      </c>
      <c r="O342" s="27" t="str">
        <f t="shared" si="39"/>
        <v>Medium Fare</v>
      </c>
      <c r="P342" s="27" t="str">
        <f t="shared" si="40"/>
        <v>Second Class</v>
      </c>
      <c r="Q342" s="27">
        <f t="shared" si="41"/>
        <v>1</v>
      </c>
    </row>
    <row r="343" spans="1:17" x14ac:dyDescent="0.3">
      <c r="A343" s="16">
        <v>342</v>
      </c>
      <c r="B343" s="16">
        <v>1</v>
      </c>
      <c r="C343" s="16">
        <v>1</v>
      </c>
      <c r="D343" s="11" t="s">
        <v>649</v>
      </c>
      <c r="E343" s="11" t="s">
        <v>14</v>
      </c>
      <c r="F343" s="25">
        <v>24</v>
      </c>
      <c r="G343" s="16">
        <v>3</v>
      </c>
      <c r="H343" s="16">
        <v>2</v>
      </c>
      <c r="I343" s="11" t="s">
        <v>66</v>
      </c>
      <c r="J343" s="21">
        <v>263</v>
      </c>
      <c r="K343" s="27" t="str">
        <f t="shared" si="35"/>
        <v>Survived</v>
      </c>
      <c r="L343" s="27" t="str">
        <f t="shared" si="36"/>
        <v>Young Adult</v>
      </c>
      <c r="M343" s="28">
        <f t="shared" si="37"/>
        <v>6</v>
      </c>
      <c r="N343" s="27" t="str">
        <f t="shared" si="38"/>
        <v>Large Family</v>
      </c>
      <c r="O343" s="27" t="str">
        <f t="shared" si="39"/>
        <v>High Fare</v>
      </c>
      <c r="P343" s="27" t="str">
        <f t="shared" si="40"/>
        <v>First Class</v>
      </c>
      <c r="Q343" s="27">
        <f t="shared" si="41"/>
        <v>2</v>
      </c>
    </row>
    <row r="344" spans="1:17" x14ac:dyDescent="0.3">
      <c r="A344" s="15">
        <v>343</v>
      </c>
      <c r="B344" s="15">
        <v>0</v>
      </c>
      <c r="C344" s="15">
        <v>2</v>
      </c>
      <c r="D344" s="8" t="s">
        <v>650</v>
      </c>
      <c r="E344" s="8" t="s">
        <v>11</v>
      </c>
      <c r="F344" s="24">
        <v>28</v>
      </c>
      <c r="G344" s="15">
        <v>0</v>
      </c>
      <c r="H344" s="15">
        <v>0</v>
      </c>
      <c r="I344" s="8" t="s">
        <v>651</v>
      </c>
      <c r="J344" s="20">
        <v>13</v>
      </c>
      <c r="K344" s="27" t="str">
        <f t="shared" si="35"/>
        <v>Died</v>
      </c>
      <c r="L344" s="27" t="str">
        <f t="shared" si="36"/>
        <v>Young Adult</v>
      </c>
      <c r="M344" s="28">
        <f t="shared" si="37"/>
        <v>1</v>
      </c>
      <c r="N344" s="27" t="str">
        <f t="shared" si="38"/>
        <v>Alone</v>
      </c>
      <c r="O344" s="27" t="str">
        <f t="shared" si="39"/>
        <v>Low Fare</v>
      </c>
      <c r="P344" s="27" t="str">
        <f t="shared" si="40"/>
        <v>Second Class</v>
      </c>
      <c r="Q344" s="27">
        <f t="shared" si="41"/>
        <v>1</v>
      </c>
    </row>
    <row r="345" spans="1:17" x14ac:dyDescent="0.3">
      <c r="A345" s="16">
        <v>344</v>
      </c>
      <c r="B345" s="16">
        <v>0</v>
      </c>
      <c r="C345" s="16">
        <v>2</v>
      </c>
      <c r="D345" s="11" t="s">
        <v>652</v>
      </c>
      <c r="E345" s="11" t="s">
        <v>11</v>
      </c>
      <c r="F345" s="25">
        <v>25</v>
      </c>
      <c r="G345" s="16">
        <v>0</v>
      </c>
      <c r="H345" s="16">
        <v>0</v>
      </c>
      <c r="I345" s="11" t="s">
        <v>653</v>
      </c>
      <c r="J345" s="21">
        <v>13</v>
      </c>
      <c r="K345" s="27" t="str">
        <f t="shared" si="35"/>
        <v>Died</v>
      </c>
      <c r="L345" s="27" t="str">
        <f t="shared" si="36"/>
        <v>Young Adult</v>
      </c>
      <c r="M345" s="28">
        <f t="shared" si="37"/>
        <v>1</v>
      </c>
      <c r="N345" s="27" t="str">
        <f t="shared" si="38"/>
        <v>Alone</v>
      </c>
      <c r="O345" s="27" t="str">
        <f t="shared" si="39"/>
        <v>Low Fare</v>
      </c>
      <c r="P345" s="27" t="str">
        <f t="shared" si="40"/>
        <v>Second Class</v>
      </c>
      <c r="Q345" s="27">
        <f t="shared" si="41"/>
        <v>1</v>
      </c>
    </row>
    <row r="346" spans="1:17" x14ac:dyDescent="0.3">
      <c r="A346" s="15">
        <v>345</v>
      </c>
      <c r="B346" s="15">
        <v>0</v>
      </c>
      <c r="C346" s="15">
        <v>2</v>
      </c>
      <c r="D346" s="8" t="s">
        <v>654</v>
      </c>
      <c r="E346" s="8" t="s">
        <v>11</v>
      </c>
      <c r="F346" s="24">
        <v>36</v>
      </c>
      <c r="G346" s="15">
        <v>0</v>
      </c>
      <c r="H346" s="15">
        <v>0</v>
      </c>
      <c r="I346" s="8" t="s">
        <v>655</v>
      </c>
      <c r="J346" s="20">
        <v>13</v>
      </c>
      <c r="K346" s="27" t="str">
        <f t="shared" si="35"/>
        <v>Died</v>
      </c>
      <c r="L346" s="27" t="str">
        <f t="shared" si="36"/>
        <v>Adult</v>
      </c>
      <c r="M346" s="28">
        <f t="shared" si="37"/>
        <v>1</v>
      </c>
      <c r="N346" s="27" t="str">
        <f t="shared" si="38"/>
        <v>Alone</v>
      </c>
      <c r="O346" s="27" t="str">
        <f t="shared" si="39"/>
        <v>Low Fare</v>
      </c>
      <c r="P346" s="27" t="str">
        <f t="shared" si="40"/>
        <v>Second Class</v>
      </c>
      <c r="Q346" s="27">
        <f t="shared" si="41"/>
        <v>1</v>
      </c>
    </row>
    <row r="347" spans="1:17" x14ac:dyDescent="0.3">
      <c r="A347" s="16">
        <v>346</v>
      </c>
      <c r="B347" s="16">
        <v>1</v>
      </c>
      <c r="C347" s="16">
        <v>2</v>
      </c>
      <c r="D347" s="11" t="s">
        <v>656</v>
      </c>
      <c r="E347" s="11" t="s">
        <v>14</v>
      </c>
      <c r="F347" s="25">
        <v>24</v>
      </c>
      <c r="G347" s="16">
        <v>0</v>
      </c>
      <c r="H347" s="16">
        <v>0</v>
      </c>
      <c r="I347" s="11" t="s">
        <v>657</v>
      </c>
      <c r="J347" s="21">
        <v>13</v>
      </c>
      <c r="K347" s="27" t="str">
        <f t="shared" si="35"/>
        <v>Survived</v>
      </c>
      <c r="L347" s="27" t="str">
        <f t="shared" si="36"/>
        <v>Young Adult</v>
      </c>
      <c r="M347" s="28">
        <f t="shared" si="37"/>
        <v>1</v>
      </c>
      <c r="N347" s="27" t="str">
        <f t="shared" si="38"/>
        <v>Alone</v>
      </c>
      <c r="O347" s="27" t="str">
        <f t="shared" si="39"/>
        <v>Low Fare</v>
      </c>
      <c r="P347" s="27" t="str">
        <f t="shared" si="40"/>
        <v>Second Class</v>
      </c>
      <c r="Q347" s="27">
        <f t="shared" si="41"/>
        <v>2</v>
      </c>
    </row>
    <row r="348" spans="1:17" x14ac:dyDescent="0.3">
      <c r="A348" s="15">
        <v>347</v>
      </c>
      <c r="B348" s="15">
        <v>1</v>
      </c>
      <c r="C348" s="15">
        <v>2</v>
      </c>
      <c r="D348" s="8" t="s">
        <v>658</v>
      </c>
      <c r="E348" s="8" t="s">
        <v>14</v>
      </c>
      <c r="F348" s="24">
        <v>40</v>
      </c>
      <c r="G348" s="15">
        <v>0</v>
      </c>
      <c r="H348" s="15">
        <v>0</v>
      </c>
      <c r="I348" s="8" t="s">
        <v>659</v>
      </c>
      <c r="J348" s="20">
        <v>13</v>
      </c>
      <c r="K348" s="27" t="str">
        <f t="shared" si="35"/>
        <v>Survived</v>
      </c>
      <c r="L348" s="27" t="str">
        <f t="shared" si="36"/>
        <v>Adult</v>
      </c>
      <c r="M348" s="28">
        <f t="shared" si="37"/>
        <v>1</v>
      </c>
      <c r="N348" s="27" t="str">
        <f t="shared" si="38"/>
        <v>Alone</v>
      </c>
      <c r="O348" s="27" t="str">
        <f t="shared" si="39"/>
        <v>Low Fare</v>
      </c>
      <c r="P348" s="27" t="str">
        <f t="shared" si="40"/>
        <v>Second Class</v>
      </c>
      <c r="Q348" s="27">
        <f t="shared" si="41"/>
        <v>2</v>
      </c>
    </row>
    <row r="349" spans="1:17" x14ac:dyDescent="0.3">
      <c r="A349" s="16">
        <v>348</v>
      </c>
      <c r="B349" s="16">
        <v>1</v>
      </c>
      <c r="C349" s="16">
        <v>3</v>
      </c>
      <c r="D349" s="11" t="s">
        <v>660</v>
      </c>
      <c r="E349" s="11" t="s">
        <v>14</v>
      </c>
      <c r="F349" s="25">
        <v>26</v>
      </c>
      <c r="G349" s="16">
        <v>1</v>
      </c>
      <c r="H349" s="16">
        <v>0</v>
      </c>
      <c r="I349" s="11" t="s">
        <v>661</v>
      </c>
      <c r="J349" s="21">
        <v>16.100000000000001</v>
      </c>
      <c r="K349" s="27" t="str">
        <f t="shared" si="35"/>
        <v>Survived</v>
      </c>
      <c r="L349" s="27" t="str">
        <f t="shared" si="36"/>
        <v>Young Adult</v>
      </c>
      <c r="M349" s="28">
        <f t="shared" si="37"/>
        <v>2</v>
      </c>
      <c r="N349" s="27" t="str">
        <f t="shared" si="38"/>
        <v>Small Family</v>
      </c>
      <c r="O349" s="27" t="str">
        <f t="shared" si="39"/>
        <v>Low Fare</v>
      </c>
      <c r="P349" s="27" t="str">
        <f t="shared" si="40"/>
        <v>Third Class</v>
      </c>
      <c r="Q349" s="27">
        <f t="shared" si="41"/>
        <v>2</v>
      </c>
    </row>
    <row r="350" spans="1:17" x14ac:dyDescent="0.3">
      <c r="A350" s="15">
        <v>349</v>
      </c>
      <c r="B350" s="15">
        <v>1</v>
      </c>
      <c r="C350" s="15">
        <v>3</v>
      </c>
      <c r="D350" s="8" t="s">
        <v>662</v>
      </c>
      <c r="E350" s="8" t="s">
        <v>11</v>
      </c>
      <c r="F350" s="24">
        <v>3</v>
      </c>
      <c r="G350" s="15">
        <v>1</v>
      </c>
      <c r="H350" s="15">
        <v>1</v>
      </c>
      <c r="I350" s="8" t="s">
        <v>663</v>
      </c>
      <c r="J350" s="20">
        <v>15.9</v>
      </c>
      <c r="K350" s="27" t="str">
        <f t="shared" si="35"/>
        <v>Survived</v>
      </c>
      <c r="L350" s="27" t="str">
        <f t="shared" si="36"/>
        <v>Child</v>
      </c>
      <c r="M350" s="28">
        <f t="shared" si="37"/>
        <v>3</v>
      </c>
      <c r="N350" s="27" t="str">
        <f t="shared" si="38"/>
        <v>Small Family</v>
      </c>
      <c r="O350" s="27" t="str">
        <f t="shared" si="39"/>
        <v>Low Fare</v>
      </c>
      <c r="P350" s="27" t="str">
        <f t="shared" si="40"/>
        <v>Third Class</v>
      </c>
      <c r="Q350" s="27">
        <f t="shared" si="41"/>
        <v>1</v>
      </c>
    </row>
    <row r="351" spans="1:17" x14ac:dyDescent="0.3">
      <c r="A351" s="16">
        <v>350</v>
      </c>
      <c r="B351" s="16">
        <v>0</v>
      </c>
      <c r="C351" s="16">
        <v>3</v>
      </c>
      <c r="D351" s="11" t="s">
        <v>664</v>
      </c>
      <c r="E351" s="11" t="s">
        <v>11</v>
      </c>
      <c r="F351" s="25">
        <v>42</v>
      </c>
      <c r="G351" s="16">
        <v>0</v>
      </c>
      <c r="H351" s="16">
        <v>0</v>
      </c>
      <c r="I351" s="11" t="s">
        <v>665</v>
      </c>
      <c r="J351" s="21">
        <v>8.6624999999999996</v>
      </c>
      <c r="K351" s="27" t="str">
        <f t="shared" si="35"/>
        <v>Died</v>
      </c>
      <c r="L351" s="27" t="str">
        <f t="shared" si="36"/>
        <v>Adult</v>
      </c>
      <c r="M351" s="28">
        <f t="shared" si="37"/>
        <v>1</v>
      </c>
      <c r="N351" s="27" t="str">
        <f t="shared" si="38"/>
        <v>Alone</v>
      </c>
      <c r="O351" s="27" t="str">
        <f t="shared" si="39"/>
        <v>Low Fare</v>
      </c>
      <c r="P351" s="27" t="str">
        <f t="shared" si="40"/>
        <v>Third Class</v>
      </c>
      <c r="Q351" s="27">
        <f t="shared" si="41"/>
        <v>1</v>
      </c>
    </row>
    <row r="352" spans="1:17" x14ac:dyDescent="0.3">
      <c r="A352" s="15">
        <v>351</v>
      </c>
      <c r="B352" s="15">
        <v>0</v>
      </c>
      <c r="C352" s="15">
        <v>3</v>
      </c>
      <c r="D352" s="8" t="s">
        <v>666</v>
      </c>
      <c r="E352" s="8" t="s">
        <v>11</v>
      </c>
      <c r="F352" s="24">
        <v>23</v>
      </c>
      <c r="G352" s="15">
        <v>0</v>
      </c>
      <c r="H352" s="15">
        <v>0</v>
      </c>
      <c r="I352" s="8" t="s">
        <v>667</v>
      </c>
      <c r="J352" s="20">
        <v>9.2249999999999996</v>
      </c>
      <c r="K352" s="27" t="str">
        <f t="shared" si="35"/>
        <v>Died</v>
      </c>
      <c r="L352" s="27" t="str">
        <f t="shared" si="36"/>
        <v>Young Adult</v>
      </c>
      <c r="M352" s="28">
        <f t="shared" si="37"/>
        <v>1</v>
      </c>
      <c r="N352" s="27" t="str">
        <f t="shared" si="38"/>
        <v>Alone</v>
      </c>
      <c r="O352" s="27" t="str">
        <f t="shared" si="39"/>
        <v>Low Fare</v>
      </c>
      <c r="P352" s="27" t="str">
        <f t="shared" si="40"/>
        <v>Third Class</v>
      </c>
      <c r="Q352" s="27">
        <f t="shared" si="41"/>
        <v>1</v>
      </c>
    </row>
    <row r="353" spans="1:17" x14ac:dyDescent="0.3">
      <c r="A353" s="16">
        <v>352</v>
      </c>
      <c r="B353" s="16">
        <v>0</v>
      </c>
      <c r="C353" s="16">
        <v>1</v>
      </c>
      <c r="D353" s="11" t="s">
        <v>668</v>
      </c>
      <c r="E353" s="11" t="s">
        <v>11</v>
      </c>
      <c r="F353" s="25">
        <v>26</v>
      </c>
      <c r="G353" s="16">
        <v>0</v>
      </c>
      <c r="H353" s="16">
        <v>0</v>
      </c>
      <c r="I353" s="11" t="s">
        <v>669</v>
      </c>
      <c r="J353" s="21">
        <v>35</v>
      </c>
      <c r="K353" s="27" t="str">
        <f t="shared" si="35"/>
        <v>Died</v>
      </c>
      <c r="L353" s="27" t="str">
        <f t="shared" si="36"/>
        <v>Young Adult</v>
      </c>
      <c r="M353" s="28">
        <f t="shared" si="37"/>
        <v>1</v>
      </c>
      <c r="N353" s="27" t="str">
        <f t="shared" si="38"/>
        <v>Alone</v>
      </c>
      <c r="O353" s="27" t="str">
        <f t="shared" si="39"/>
        <v>Medium Fare</v>
      </c>
      <c r="P353" s="27" t="str">
        <f t="shared" si="40"/>
        <v>First Class</v>
      </c>
      <c r="Q353" s="27">
        <f t="shared" si="41"/>
        <v>1</v>
      </c>
    </row>
    <row r="354" spans="1:17" x14ac:dyDescent="0.3">
      <c r="A354" s="15">
        <v>353</v>
      </c>
      <c r="B354" s="15">
        <v>0</v>
      </c>
      <c r="C354" s="15">
        <v>3</v>
      </c>
      <c r="D354" s="8" t="s">
        <v>670</v>
      </c>
      <c r="E354" s="8" t="s">
        <v>11</v>
      </c>
      <c r="F354" s="24">
        <v>15</v>
      </c>
      <c r="G354" s="15">
        <v>1</v>
      </c>
      <c r="H354" s="15">
        <v>1</v>
      </c>
      <c r="I354" s="8" t="s">
        <v>671</v>
      </c>
      <c r="J354" s="20">
        <v>7.2291999999999996</v>
      </c>
      <c r="K354" s="27" t="str">
        <f t="shared" si="35"/>
        <v>Died</v>
      </c>
      <c r="L354" s="27" t="str">
        <f t="shared" si="36"/>
        <v>Child</v>
      </c>
      <c r="M354" s="28">
        <f t="shared" si="37"/>
        <v>3</v>
      </c>
      <c r="N354" s="27" t="str">
        <f t="shared" si="38"/>
        <v>Small Family</v>
      </c>
      <c r="O354" s="27" t="str">
        <f t="shared" si="39"/>
        <v>Low Fare</v>
      </c>
      <c r="P354" s="27" t="str">
        <f t="shared" si="40"/>
        <v>Third Class</v>
      </c>
      <c r="Q354" s="27">
        <f t="shared" si="41"/>
        <v>1</v>
      </c>
    </row>
    <row r="355" spans="1:17" x14ac:dyDescent="0.3">
      <c r="A355" s="16">
        <v>354</v>
      </c>
      <c r="B355" s="16">
        <v>0</v>
      </c>
      <c r="C355" s="16">
        <v>3</v>
      </c>
      <c r="D355" s="11" t="s">
        <v>672</v>
      </c>
      <c r="E355" s="11" t="s">
        <v>11</v>
      </c>
      <c r="F355" s="25">
        <v>25</v>
      </c>
      <c r="G355" s="16">
        <v>1</v>
      </c>
      <c r="H355" s="16">
        <v>0</v>
      </c>
      <c r="I355" s="11" t="s">
        <v>110</v>
      </c>
      <c r="J355" s="21">
        <v>17.8</v>
      </c>
      <c r="K355" s="27" t="str">
        <f t="shared" si="35"/>
        <v>Died</v>
      </c>
      <c r="L355" s="27" t="str">
        <f t="shared" si="36"/>
        <v>Young Adult</v>
      </c>
      <c r="M355" s="28">
        <f t="shared" si="37"/>
        <v>2</v>
      </c>
      <c r="N355" s="27" t="str">
        <f t="shared" si="38"/>
        <v>Small Family</v>
      </c>
      <c r="O355" s="27" t="str">
        <f t="shared" si="39"/>
        <v>Low Fare</v>
      </c>
      <c r="P355" s="27" t="str">
        <f t="shared" si="40"/>
        <v>Third Class</v>
      </c>
      <c r="Q355" s="27">
        <f t="shared" si="41"/>
        <v>1</v>
      </c>
    </row>
    <row r="356" spans="1:17" x14ac:dyDescent="0.3">
      <c r="A356" s="15">
        <v>355</v>
      </c>
      <c r="B356" s="15">
        <v>0</v>
      </c>
      <c r="C356" s="15">
        <v>3</v>
      </c>
      <c r="D356" s="8" t="s">
        <v>673</v>
      </c>
      <c r="E356" s="8" t="s">
        <v>11</v>
      </c>
      <c r="F356" s="24">
        <v>26</v>
      </c>
      <c r="G356" s="15">
        <v>0</v>
      </c>
      <c r="H356" s="15">
        <v>0</v>
      </c>
      <c r="I356" s="8" t="s">
        <v>674</v>
      </c>
      <c r="J356" s="20">
        <v>7.2249999999999996</v>
      </c>
      <c r="K356" s="27" t="str">
        <f t="shared" si="35"/>
        <v>Died</v>
      </c>
      <c r="L356" s="27" t="str">
        <f t="shared" si="36"/>
        <v>Young Adult</v>
      </c>
      <c r="M356" s="28">
        <f t="shared" si="37"/>
        <v>1</v>
      </c>
      <c r="N356" s="27" t="str">
        <f t="shared" si="38"/>
        <v>Alone</v>
      </c>
      <c r="O356" s="27" t="str">
        <f t="shared" si="39"/>
        <v>Low Fare</v>
      </c>
      <c r="P356" s="27" t="str">
        <f t="shared" si="40"/>
        <v>Third Class</v>
      </c>
      <c r="Q356" s="27">
        <f t="shared" si="41"/>
        <v>1</v>
      </c>
    </row>
    <row r="357" spans="1:17" x14ac:dyDescent="0.3">
      <c r="A357" s="16">
        <v>356</v>
      </c>
      <c r="B357" s="16">
        <v>0</v>
      </c>
      <c r="C357" s="16">
        <v>3</v>
      </c>
      <c r="D357" s="11" t="s">
        <v>675</v>
      </c>
      <c r="E357" s="11" t="s">
        <v>11</v>
      </c>
      <c r="F357" s="25">
        <v>28</v>
      </c>
      <c r="G357" s="16">
        <v>0</v>
      </c>
      <c r="H357" s="16">
        <v>0</v>
      </c>
      <c r="I357" s="11" t="s">
        <v>676</v>
      </c>
      <c r="J357" s="21">
        <v>9.5</v>
      </c>
      <c r="K357" s="27" t="str">
        <f t="shared" si="35"/>
        <v>Died</v>
      </c>
      <c r="L357" s="27" t="str">
        <f t="shared" si="36"/>
        <v>Young Adult</v>
      </c>
      <c r="M357" s="28">
        <f t="shared" si="37"/>
        <v>1</v>
      </c>
      <c r="N357" s="27" t="str">
        <f t="shared" si="38"/>
        <v>Alone</v>
      </c>
      <c r="O357" s="27" t="str">
        <f t="shared" si="39"/>
        <v>Low Fare</v>
      </c>
      <c r="P357" s="27" t="str">
        <f t="shared" si="40"/>
        <v>Third Class</v>
      </c>
      <c r="Q357" s="27">
        <f t="shared" si="41"/>
        <v>1</v>
      </c>
    </row>
    <row r="358" spans="1:17" x14ac:dyDescent="0.3">
      <c r="A358" s="15">
        <v>357</v>
      </c>
      <c r="B358" s="15">
        <v>1</v>
      </c>
      <c r="C358" s="15">
        <v>1</v>
      </c>
      <c r="D358" s="8" t="s">
        <v>677</v>
      </c>
      <c r="E358" s="8" t="s">
        <v>14</v>
      </c>
      <c r="F358" s="24">
        <v>22</v>
      </c>
      <c r="G358" s="15">
        <v>0</v>
      </c>
      <c r="H358" s="15">
        <v>1</v>
      </c>
      <c r="I358" s="8" t="s">
        <v>333</v>
      </c>
      <c r="J358" s="20">
        <v>55</v>
      </c>
      <c r="K358" s="27" t="str">
        <f t="shared" si="35"/>
        <v>Survived</v>
      </c>
      <c r="L358" s="27" t="str">
        <f t="shared" si="36"/>
        <v>Young Adult</v>
      </c>
      <c r="M358" s="28">
        <f t="shared" si="37"/>
        <v>2</v>
      </c>
      <c r="N358" s="27" t="str">
        <f t="shared" si="38"/>
        <v>Small Family</v>
      </c>
      <c r="O358" s="27" t="str">
        <f t="shared" si="39"/>
        <v>Medium Fare</v>
      </c>
      <c r="P358" s="27" t="str">
        <f t="shared" si="40"/>
        <v>First Class</v>
      </c>
      <c r="Q358" s="27">
        <f t="shared" si="41"/>
        <v>2</v>
      </c>
    </row>
    <row r="359" spans="1:17" x14ac:dyDescent="0.3">
      <c r="A359" s="16">
        <v>358</v>
      </c>
      <c r="B359" s="16">
        <v>0</v>
      </c>
      <c r="C359" s="16">
        <v>2</v>
      </c>
      <c r="D359" s="11" t="s">
        <v>678</v>
      </c>
      <c r="E359" s="11" t="s">
        <v>14</v>
      </c>
      <c r="F359" s="25">
        <v>38</v>
      </c>
      <c r="G359" s="16">
        <v>0</v>
      </c>
      <c r="H359" s="16">
        <v>0</v>
      </c>
      <c r="I359" s="11" t="s">
        <v>679</v>
      </c>
      <c r="J359" s="21">
        <v>13</v>
      </c>
      <c r="K359" s="27" t="str">
        <f t="shared" si="35"/>
        <v>Died</v>
      </c>
      <c r="L359" s="27" t="str">
        <f t="shared" si="36"/>
        <v>Adult</v>
      </c>
      <c r="M359" s="28">
        <f t="shared" si="37"/>
        <v>1</v>
      </c>
      <c r="N359" s="27" t="str">
        <f t="shared" si="38"/>
        <v>Alone</v>
      </c>
      <c r="O359" s="27" t="str">
        <f t="shared" si="39"/>
        <v>Low Fare</v>
      </c>
      <c r="P359" s="27" t="str">
        <f t="shared" si="40"/>
        <v>Second Class</v>
      </c>
      <c r="Q359" s="27">
        <f t="shared" si="41"/>
        <v>2</v>
      </c>
    </row>
    <row r="360" spans="1:17" x14ac:dyDescent="0.3">
      <c r="A360" s="15">
        <v>359</v>
      </c>
      <c r="B360" s="15">
        <v>1</v>
      </c>
      <c r="C360" s="15">
        <v>3</v>
      </c>
      <c r="D360" s="8" t="s">
        <v>680</v>
      </c>
      <c r="E360" s="8" t="s">
        <v>14</v>
      </c>
      <c r="F360" s="24">
        <v>26</v>
      </c>
      <c r="G360" s="15">
        <v>0</v>
      </c>
      <c r="H360" s="15">
        <v>0</v>
      </c>
      <c r="I360" s="8" t="s">
        <v>681</v>
      </c>
      <c r="J360" s="20">
        <v>7.8792</v>
      </c>
      <c r="K360" s="27" t="str">
        <f t="shared" si="35"/>
        <v>Survived</v>
      </c>
      <c r="L360" s="27" t="str">
        <f t="shared" si="36"/>
        <v>Young Adult</v>
      </c>
      <c r="M360" s="28">
        <f t="shared" si="37"/>
        <v>1</v>
      </c>
      <c r="N360" s="27" t="str">
        <f t="shared" si="38"/>
        <v>Alone</v>
      </c>
      <c r="O360" s="27" t="str">
        <f t="shared" si="39"/>
        <v>Low Fare</v>
      </c>
      <c r="P360" s="27" t="str">
        <f t="shared" si="40"/>
        <v>Third Class</v>
      </c>
      <c r="Q360" s="27">
        <f t="shared" si="41"/>
        <v>2</v>
      </c>
    </row>
    <row r="361" spans="1:17" x14ac:dyDescent="0.3">
      <c r="A361" s="16">
        <v>360</v>
      </c>
      <c r="B361" s="16">
        <v>1</v>
      </c>
      <c r="C361" s="16">
        <v>3</v>
      </c>
      <c r="D361" s="11" t="s">
        <v>682</v>
      </c>
      <c r="E361" s="11" t="s">
        <v>14</v>
      </c>
      <c r="F361" s="25">
        <v>26</v>
      </c>
      <c r="G361" s="16">
        <v>0</v>
      </c>
      <c r="H361" s="16">
        <v>0</v>
      </c>
      <c r="I361" s="11" t="s">
        <v>683</v>
      </c>
      <c r="J361" s="21">
        <v>7.8792</v>
      </c>
      <c r="K361" s="27" t="str">
        <f t="shared" si="35"/>
        <v>Survived</v>
      </c>
      <c r="L361" s="27" t="str">
        <f t="shared" si="36"/>
        <v>Young Adult</v>
      </c>
      <c r="M361" s="28">
        <f t="shared" si="37"/>
        <v>1</v>
      </c>
      <c r="N361" s="27" t="str">
        <f t="shared" si="38"/>
        <v>Alone</v>
      </c>
      <c r="O361" s="27" t="str">
        <f t="shared" si="39"/>
        <v>Low Fare</v>
      </c>
      <c r="P361" s="27" t="str">
        <f t="shared" si="40"/>
        <v>Third Class</v>
      </c>
      <c r="Q361" s="27">
        <f t="shared" si="41"/>
        <v>2</v>
      </c>
    </row>
    <row r="362" spans="1:17" x14ac:dyDescent="0.3">
      <c r="A362" s="15">
        <v>361</v>
      </c>
      <c r="B362" s="15">
        <v>0</v>
      </c>
      <c r="C362" s="15">
        <v>3</v>
      </c>
      <c r="D362" s="8" t="s">
        <v>684</v>
      </c>
      <c r="E362" s="8" t="s">
        <v>11</v>
      </c>
      <c r="F362" s="24">
        <v>40</v>
      </c>
      <c r="G362" s="15">
        <v>1</v>
      </c>
      <c r="H362" s="15">
        <v>4</v>
      </c>
      <c r="I362" s="8" t="s">
        <v>138</v>
      </c>
      <c r="J362" s="20">
        <v>27.9</v>
      </c>
      <c r="K362" s="27" t="str">
        <f t="shared" si="35"/>
        <v>Died</v>
      </c>
      <c r="L362" s="27" t="str">
        <f t="shared" si="36"/>
        <v>Adult</v>
      </c>
      <c r="M362" s="28">
        <f t="shared" si="37"/>
        <v>6</v>
      </c>
      <c r="N362" s="27" t="str">
        <f t="shared" si="38"/>
        <v>Large Family</v>
      </c>
      <c r="O362" s="27" t="str">
        <f t="shared" si="39"/>
        <v>Medium Fare</v>
      </c>
      <c r="P362" s="27" t="str">
        <f t="shared" si="40"/>
        <v>Third Class</v>
      </c>
      <c r="Q362" s="27">
        <f t="shared" si="41"/>
        <v>1</v>
      </c>
    </row>
    <row r="363" spans="1:17" x14ac:dyDescent="0.3">
      <c r="A363" s="16">
        <v>362</v>
      </c>
      <c r="B363" s="16">
        <v>0</v>
      </c>
      <c r="C363" s="16">
        <v>2</v>
      </c>
      <c r="D363" s="11" t="s">
        <v>685</v>
      </c>
      <c r="E363" s="11" t="s">
        <v>11</v>
      </c>
      <c r="F363" s="25">
        <v>29</v>
      </c>
      <c r="G363" s="16">
        <v>1</v>
      </c>
      <c r="H363" s="16">
        <v>0</v>
      </c>
      <c r="I363" s="11" t="s">
        <v>686</v>
      </c>
      <c r="J363" s="21">
        <v>27.720800000000001</v>
      </c>
      <c r="K363" s="27" t="str">
        <f t="shared" si="35"/>
        <v>Died</v>
      </c>
      <c r="L363" s="27" t="str">
        <f t="shared" si="36"/>
        <v>Young Adult</v>
      </c>
      <c r="M363" s="28">
        <f t="shared" si="37"/>
        <v>2</v>
      </c>
      <c r="N363" s="27" t="str">
        <f t="shared" si="38"/>
        <v>Small Family</v>
      </c>
      <c r="O363" s="27" t="str">
        <f t="shared" si="39"/>
        <v>Medium Fare</v>
      </c>
      <c r="P363" s="27" t="str">
        <f t="shared" si="40"/>
        <v>Second Class</v>
      </c>
      <c r="Q363" s="27">
        <f t="shared" si="41"/>
        <v>1</v>
      </c>
    </row>
    <row r="364" spans="1:17" x14ac:dyDescent="0.3">
      <c r="A364" s="15">
        <v>363</v>
      </c>
      <c r="B364" s="15">
        <v>0</v>
      </c>
      <c r="C364" s="15">
        <v>3</v>
      </c>
      <c r="D364" s="8" t="s">
        <v>687</v>
      </c>
      <c r="E364" s="8" t="s">
        <v>14</v>
      </c>
      <c r="F364" s="24">
        <v>45</v>
      </c>
      <c r="G364" s="15">
        <v>0</v>
      </c>
      <c r="H364" s="15">
        <v>1</v>
      </c>
      <c r="I364" s="8" t="s">
        <v>688</v>
      </c>
      <c r="J364" s="20">
        <v>14.4542</v>
      </c>
      <c r="K364" s="27" t="str">
        <f t="shared" si="35"/>
        <v>Died</v>
      </c>
      <c r="L364" s="27" t="str">
        <f t="shared" si="36"/>
        <v>Adult</v>
      </c>
      <c r="M364" s="28">
        <f t="shared" si="37"/>
        <v>2</v>
      </c>
      <c r="N364" s="27" t="str">
        <f t="shared" si="38"/>
        <v>Small Family</v>
      </c>
      <c r="O364" s="27" t="str">
        <f t="shared" si="39"/>
        <v>Low Fare</v>
      </c>
      <c r="P364" s="27" t="str">
        <f t="shared" si="40"/>
        <v>Third Class</v>
      </c>
      <c r="Q364" s="27">
        <f t="shared" si="41"/>
        <v>2</v>
      </c>
    </row>
    <row r="365" spans="1:17" x14ac:dyDescent="0.3">
      <c r="A365" s="16">
        <v>364</v>
      </c>
      <c r="B365" s="16">
        <v>0</v>
      </c>
      <c r="C365" s="16">
        <v>3</v>
      </c>
      <c r="D365" s="11" t="s">
        <v>689</v>
      </c>
      <c r="E365" s="11" t="s">
        <v>11</v>
      </c>
      <c r="F365" s="25">
        <v>35</v>
      </c>
      <c r="G365" s="16">
        <v>0</v>
      </c>
      <c r="H365" s="16">
        <v>0</v>
      </c>
      <c r="I365" s="11" t="s">
        <v>690</v>
      </c>
      <c r="J365" s="21">
        <v>7.05</v>
      </c>
      <c r="K365" s="27" t="str">
        <f t="shared" si="35"/>
        <v>Died</v>
      </c>
      <c r="L365" s="27" t="str">
        <f t="shared" si="36"/>
        <v>Adult</v>
      </c>
      <c r="M365" s="28">
        <f t="shared" si="37"/>
        <v>1</v>
      </c>
      <c r="N365" s="27" t="str">
        <f t="shared" si="38"/>
        <v>Alone</v>
      </c>
      <c r="O365" s="27" t="str">
        <f t="shared" si="39"/>
        <v>Low Fare</v>
      </c>
      <c r="P365" s="27" t="str">
        <f t="shared" si="40"/>
        <v>Third Class</v>
      </c>
      <c r="Q365" s="27">
        <f t="shared" si="41"/>
        <v>1</v>
      </c>
    </row>
    <row r="366" spans="1:17" x14ac:dyDescent="0.3">
      <c r="A366" s="15">
        <v>365</v>
      </c>
      <c r="B366" s="15">
        <v>0</v>
      </c>
      <c r="C366" s="15">
        <v>3</v>
      </c>
      <c r="D366" s="8" t="s">
        <v>691</v>
      </c>
      <c r="E366" s="8" t="s">
        <v>11</v>
      </c>
      <c r="F366" s="24">
        <v>26</v>
      </c>
      <c r="G366" s="15">
        <v>1</v>
      </c>
      <c r="H366" s="15">
        <v>0</v>
      </c>
      <c r="I366" s="8" t="s">
        <v>367</v>
      </c>
      <c r="J366" s="20">
        <v>15.5</v>
      </c>
      <c r="K366" s="27" t="str">
        <f t="shared" si="35"/>
        <v>Died</v>
      </c>
      <c r="L366" s="27" t="str">
        <f t="shared" si="36"/>
        <v>Young Adult</v>
      </c>
      <c r="M366" s="28">
        <f t="shared" si="37"/>
        <v>2</v>
      </c>
      <c r="N366" s="27" t="str">
        <f t="shared" si="38"/>
        <v>Small Family</v>
      </c>
      <c r="O366" s="27" t="str">
        <f t="shared" si="39"/>
        <v>Low Fare</v>
      </c>
      <c r="P366" s="27" t="str">
        <f t="shared" si="40"/>
        <v>Third Class</v>
      </c>
      <c r="Q366" s="27">
        <f t="shared" si="41"/>
        <v>1</v>
      </c>
    </row>
    <row r="367" spans="1:17" x14ac:dyDescent="0.3">
      <c r="A367" s="16">
        <v>366</v>
      </c>
      <c r="B367" s="16">
        <v>0</v>
      </c>
      <c r="C367" s="16">
        <v>3</v>
      </c>
      <c r="D367" s="11" t="s">
        <v>692</v>
      </c>
      <c r="E367" s="11" t="s">
        <v>11</v>
      </c>
      <c r="F367" s="25">
        <v>30</v>
      </c>
      <c r="G367" s="16">
        <v>0</v>
      </c>
      <c r="H367" s="16">
        <v>0</v>
      </c>
      <c r="I367" s="11" t="s">
        <v>693</v>
      </c>
      <c r="J367" s="21">
        <v>7.25</v>
      </c>
      <c r="K367" s="27" t="str">
        <f t="shared" si="35"/>
        <v>Died</v>
      </c>
      <c r="L367" s="27" t="str">
        <f t="shared" si="36"/>
        <v>Young Adult</v>
      </c>
      <c r="M367" s="28">
        <f t="shared" si="37"/>
        <v>1</v>
      </c>
      <c r="N367" s="27" t="str">
        <f t="shared" si="38"/>
        <v>Alone</v>
      </c>
      <c r="O367" s="27" t="str">
        <f t="shared" si="39"/>
        <v>Low Fare</v>
      </c>
      <c r="P367" s="27" t="str">
        <f t="shared" si="40"/>
        <v>Third Class</v>
      </c>
      <c r="Q367" s="27">
        <f t="shared" si="41"/>
        <v>1</v>
      </c>
    </row>
    <row r="368" spans="1:17" x14ac:dyDescent="0.3">
      <c r="A368" s="15">
        <v>367</v>
      </c>
      <c r="B368" s="15">
        <v>1</v>
      </c>
      <c r="C368" s="15">
        <v>1</v>
      </c>
      <c r="D368" s="8" t="s">
        <v>694</v>
      </c>
      <c r="E368" s="8" t="s">
        <v>14</v>
      </c>
      <c r="F368" s="24">
        <v>60</v>
      </c>
      <c r="G368" s="15">
        <v>1</v>
      </c>
      <c r="H368" s="15">
        <v>0</v>
      </c>
      <c r="I368" s="8" t="s">
        <v>695</v>
      </c>
      <c r="J368" s="20">
        <v>75.25</v>
      </c>
      <c r="K368" s="27" t="str">
        <f t="shared" si="35"/>
        <v>Survived</v>
      </c>
      <c r="L368" s="27" t="str">
        <f t="shared" si="36"/>
        <v>Senior</v>
      </c>
      <c r="M368" s="28">
        <f t="shared" si="37"/>
        <v>2</v>
      </c>
      <c r="N368" s="27" t="str">
        <f t="shared" si="38"/>
        <v>Small Family</v>
      </c>
      <c r="O368" s="27" t="str">
        <f t="shared" si="39"/>
        <v>Medium Fare</v>
      </c>
      <c r="P368" s="27" t="str">
        <f t="shared" si="40"/>
        <v>First Class</v>
      </c>
      <c r="Q368" s="27">
        <f t="shared" si="41"/>
        <v>2</v>
      </c>
    </row>
    <row r="369" spans="1:17" x14ac:dyDescent="0.3">
      <c r="A369" s="16">
        <v>368</v>
      </c>
      <c r="B369" s="16">
        <v>1</v>
      </c>
      <c r="C369" s="16">
        <v>3</v>
      </c>
      <c r="D369" s="11" t="s">
        <v>696</v>
      </c>
      <c r="E369" s="11" t="s">
        <v>14</v>
      </c>
      <c r="F369" s="25">
        <v>26</v>
      </c>
      <c r="G369" s="16">
        <v>0</v>
      </c>
      <c r="H369" s="16">
        <v>0</v>
      </c>
      <c r="I369" s="11" t="s">
        <v>697</v>
      </c>
      <c r="J369" s="21">
        <v>7.2291999999999996</v>
      </c>
      <c r="K369" s="27" t="str">
        <f t="shared" si="35"/>
        <v>Survived</v>
      </c>
      <c r="L369" s="27" t="str">
        <f t="shared" si="36"/>
        <v>Young Adult</v>
      </c>
      <c r="M369" s="28">
        <f t="shared" si="37"/>
        <v>1</v>
      </c>
      <c r="N369" s="27" t="str">
        <f t="shared" si="38"/>
        <v>Alone</v>
      </c>
      <c r="O369" s="27" t="str">
        <f t="shared" si="39"/>
        <v>Low Fare</v>
      </c>
      <c r="P369" s="27" t="str">
        <f t="shared" si="40"/>
        <v>Third Class</v>
      </c>
      <c r="Q369" s="27">
        <f t="shared" si="41"/>
        <v>2</v>
      </c>
    </row>
    <row r="370" spans="1:17" x14ac:dyDescent="0.3">
      <c r="A370" s="15">
        <v>369</v>
      </c>
      <c r="B370" s="15">
        <v>1</v>
      </c>
      <c r="C370" s="15">
        <v>3</v>
      </c>
      <c r="D370" s="8" t="s">
        <v>698</v>
      </c>
      <c r="E370" s="8" t="s">
        <v>14</v>
      </c>
      <c r="F370" s="24">
        <v>26</v>
      </c>
      <c r="G370" s="15">
        <v>0</v>
      </c>
      <c r="H370" s="15">
        <v>0</v>
      </c>
      <c r="I370" s="8" t="s">
        <v>699</v>
      </c>
      <c r="J370" s="20">
        <v>7.75</v>
      </c>
      <c r="K370" s="27" t="str">
        <f t="shared" si="35"/>
        <v>Survived</v>
      </c>
      <c r="L370" s="27" t="str">
        <f t="shared" si="36"/>
        <v>Young Adult</v>
      </c>
      <c r="M370" s="28">
        <f t="shared" si="37"/>
        <v>1</v>
      </c>
      <c r="N370" s="27" t="str">
        <f t="shared" si="38"/>
        <v>Alone</v>
      </c>
      <c r="O370" s="27" t="str">
        <f t="shared" si="39"/>
        <v>Low Fare</v>
      </c>
      <c r="P370" s="27" t="str">
        <f t="shared" si="40"/>
        <v>Third Class</v>
      </c>
      <c r="Q370" s="27">
        <f t="shared" si="41"/>
        <v>2</v>
      </c>
    </row>
    <row r="371" spans="1:17" x14ac:dyDescent="0.3">
      <c r="A371" s="16">
        <v>370</v>
      </c>
      <c r="B371" s="16">
        <v>1</v>
      </c>
      <c r="C371" s="16">
        <v>1</v>
      </c>
      <c r="D371" s="11" t="s">
        <v>700</v>
      </c>
      <c r="E371" s="11" t="s">
        <v>14</v>
      </c>
      <c r="F371" s="25">
        <v>24</v>
      </c>
      <c r="G371" s="16">
        <v>0</v>
      </c>
      <c r="H371" s="16">
        <v>0</v>
      </c>
      <c r="I371" s="11" t="s">
        <v>701</v>
      </c>
      <c r="J371" s="21">
        <v>69.3</v>
      </c>
      <c r="K371" s="27" t="str">
        <f t="shared" si="35"/>
        <v>Survived</v>
      </c>
      <c r="L371" s="27" t="str">
        <f t="shared" si="36"/>
        <v>Young Adult</v>
      </c>
      <c r="M371" s="28">
        <f t="shared" si="37"/>
        <v>1</v>
      </c>
      <c r="N371" s="27" t="str">
        <f t="shared" si="38"/>
        <v>Alone</v>
      </c>
      <c r="O371" s="27" t="str">
        <f t="shared" si="39"/>
        <v>Medium Fare</v>
      </c>
      <c r="P371" s="27" t="str">
        <f t="shared" si="40"/>
        <v>First Class</v>
      </c>
      <c r="Q371" s="27">
        <f t="shared" si="41"/>
        <v>2</v>
      </c>
    </row>
    <row r="372" spans="1:17" x14ac:dyDescent="0.3">
      <c r="A372" s="15">
        <v>371</v>
      </c>
      <c r="B372" s="15">
        <v>1</v>
      </c>
      <c r="C372" s="15">
        <v>1</v>
      </c>
      <c r="D372" s="8" t="s">
        <v>702</v>
      </c>
      <c r="E372" s="8" t="s">
        <v>11</v>
      </c>
      <c r="F372" s="24">
        <v>25</v>
      </c>
      <c r="G372" s="15">
        <v>1</v>
      </c>
      <c r="H372" s="15">
        <v>0</v>
      </c>
      <c r="I372" s="8" t="s">
        <v>703</v>
      </c>
      <c r="J372" s="20">
        <v>55.441699999999997</v>
      </c>
      <c r="K372" s="27" t="str">
        <f t="shared" si="35"/>
        <v>Survived</v>
      </c>
      <c r="L372" s="27" t="str">
        <f t="shared" si="36"/>
        <v>Young Adult</v>
      </c>
      <c r="M372" s="28">
        <f t="shared" si="37"/>
        <v>2</v>
      </c>
      <c r="N372" s="27" t="str">
        <f t="shared" si="38"/>
        <v>Small Family</v>
      </c>
      <c r="O372" s="27" t="str">
        <f t="shared" si="39"/>
        <v>Medium Fare</v>
      </c>
      <c r="P372" s="27" t="str">
        <f t="shared" si="40"/>
        <v>First Class</v>
      </c>
      <c r="Q372" s="27">
        <f t="shared" si="41"/>
        <v>1</v>
      </c>
    </row>
    <row r="373" spans="1:17" x14ac:dyDescent="0.3">
      <c r="A373" s="16">
        <v>372</v>
      </c>
      <c r="B373" s="16">
        <v>0</v>
      </c>
      <c r="C373" s="16">
        <v>3</v>
      </c>
      <c r="D373" s="11" t="s">
        <v>704</v>
      </c>
      <c r="E373" s="11" t="s">
        <v>11</v>
      </c>
      <c r="F373" s="25">
        <v>18</v>
      </c>
      <c r="G373" s="16">
        <v>1</v>
      </c>
      <c r="H373" s="16">
        <v>0</v>
      </c>
      <c r="I373" s="11" t="s">
        <v>705</v>
      </c>
      <c r="J373" s="21">
        <v>6.4958</v>
      </c>
      <c r="K373" s="27" t="str">
        <f t="shared" si="35"/>
        <v>Died</v>
      </c>
      <c r="L373" s="27" t="str">
        <f t="shared" si="36"/>
        <v>Young Adult</v>
      </c>
      <c r="M373" s="28">
        <f t="shared" si="37"/>
        <v>2</v>
      </c>
      <c r="N373" s="27" t="str">
        <f t="shared" si="38"/>
        <v>Small Family</v>
      </c>
      <c r="O373" s="27" t="str">
        <f t="shared" si="39"/>
        <v>Low Fare</v>
      </c>
      <c r="P373" s="27" t="str">
        <f t="shared" si="40"/>
        <v>Third Class</v>
      </c>
      <c r="Q373" s="27">
        <f t="shared" si="41"/>
        <v>1</v>
      </c>
    </row>
    <row r="374" spans="1:17" x14ac:dyDescent="0.3">
      <c r="A374" s="15">
        <v>373</v>
      </c>
      <c r="B374" s="15">
        <v>0</v>
      </c>
      <c r="C374" s="15">
        <v>3</v>
      </c>
      <c r="D374" s="8" t="s">
        <v>706</v>
      </c>
      <c r="E374" s="8" t="s">
        <v>11</v>
      </c>
      <c r="F374" s="24">
        <v>19</v>
      </c>
      <c r="G374" s="15">
        <v>0</v>
      </c>
      <c r="H374" s="15">
        <v>0</v>
      </c>
      <c r="I374" s="8" t="s">
        <v>707</v>
      </c>
      <c r="J374" s="20">
        <v>8.0500000000000007</v>
      </c>
      <c r="K374" s="27" t="str">
        <f t="shared" si="35"/>
        <v>Died</v>
      </c>
      <c r="L374" s="27" t="str">
        <f t="shared" si="36"/>
        <v>Young Adult</v>
      </c>
      <c r="M374" s="28">
        <f t="shared" si="37"/>
        <v>1</v>
      </c>
      <c r="N374" s="27" t="str">
        <f t="shared" si="38"/>
        <v>Alone</v>
      </c>
      <c r="O374" s="27" t="str">
        <f t="shared" si="39"/>
        <v>Low Fare</v>
      </c>
      <c r="P374" s="27" t="str">
        <f t="shared" si="40"/>
        <v>Third Class</v>
      </c>
      <c r="Q374" s="27">
        <f t="shared" si="41"/>
        <v>1</v>
      </c>
    </row>
    <row r="375" spans="1:17" x14ac:dyDescent="0.3">
      <c r="A375" s="16">
        <v>374</v>
      </c>
      <c r="B375" s="16">
        <v>0</v>
      </c>
      <c r="C375" s="16">
        <v>1</v>
      </c>
      <c r="D375" s="11" t="s">
        <v>708</v>
      </c>
      <c r="E375" s="11" t="s">
        <v>11</v>
      </c>
      <c r="F375" s="25">
        <v>22</v>
      </c>
      <c r="G375" s="16">
        <v>0</v>
      </c>
      <c r="H375" s="16">
        <v>0</v>
      </c>
      <c r="I375" s="11" t="s">
        <v>522</v>
      </c>
      <c r="J375" s="21">
        <v>135.63329999999999</v>
      </c>
      <c r="K375" s="27" t="str">
        <f t="shared" si="35"/>
        <v>Died</v>
      </c>
      <c r="L375" s="27" t="str">
        <f t="shared" si="36"/>
        <v>Young Adult</v>
      </c>
      <c r="M375" s="28">
        <f t="shared" si="37"/>
        <v>1</v>
      </c>
      <c r="N375" s="27" t="str">
        <f t="shared" si="38"/>
        <v>Alone</v>
      </c>
      <c r="O375" s="27" t="str">
        <f t="shared" si="39"/>
        <v>High Fare</v>
      </c>
      <c r="P375" s="27" t="str">
        <f t="shared" si="40"/>
        <v>First Class</v>
      </c>
      <c r="Q375" s="27">
        <f t="shared" si="41"/>
        <v>1</v>
      </c>
    </row>
    <row r="376" spans="1:17" x14ac:dyDescent="0.3">
      <c r="A376" s="15">
        <v>375</v>
      </c>
      <c r="B376" s="15">
        <v>0</v>
      </c>
      <c r="C376" s="15">
        <v>3</v>
      </c>
      <c r="D376" s="8" t="s">
        <v>709</v>
      </c>
      <c r="E376" s="8" t="s">
        <v>14</v>
      </c>
      <c r="F376" s="24">
        <v>3</v>
      </c>
      <c r="G376" s="15">
        <v>3</v>
      </c>
      <c r="H376" s="15">
        <v>1</v>
      </c>
      <c r="I376" s="8" t="s">
        <v>27</v>
      </c>
      <c r="J376" s="20">
        <v>21.074999999999999</v>
      </c>
      <c r="K376" s="27" t="str">
        <f t="shared" si="35"/>
        <v>Died</v>
      </c>
      <c r="L376" s="27" t="str">
        <f t="shared" si="36"/>
        <v>Child</v>
      </c>
      <c r="M376" s="28">
        <f t="shared" si="37"/>
        <v>5</v>
      </c>
      <c r="N376" s="27" t="str">
        <f t="shared" si="38"/>
        <v>Large Family</v>
      </c>
      <c r="O376" s="27" t="str">
        <f t="shared" si="39"/>
        <v>Low Fare</v>
      </c>
      <c r="P376" s="27" t="str">
        <f t="shared" si="40"/>
        <v>Third Class</v>
      </c>
      <c r="Q376" s="27">
        <f t="shared" si="41"/>
        <v>2</v>
      </c>
    </row>
    <row r="377" spans="1:17" x14ac:dyDescent="0.3">
      <c r="A377" s="16">
        <v>376</v>
      </c>
      <c r="B377" s="16">
        <v>1</v>
      </c>
      <c r="C377" s="16">
        <v>1</v>
      </c>
      <c r="D377" s="11" t="s">
        <v>710</v>
      </c>
      <c r="E377" s="11" t="s">
        <v>14</v>
      </c>
      <c r="F377" s="25">
        <v>26</v>
      </c>
      <c r="G377" s="16">
        <v>1</v>
      </c>
      <c r="H377" s="16">
        <v>0</v>
      </c>
      <c r="I377" s="11" t="s">
        <v>80</v>
      </c>
      <c r="J377" s="21">
        <v>82.1708</v>
      </c>
      <c r="K377" s="27" t="str">
        <f t="shared" si="35"/>
        <v>Survived</v>
      </c>
      <c r="L377" s="27" t="str">
        <f t="shared" si="36"/>
        <v>Young Adult</v>
      </c>
      <c r="M377" s="28">
        <f t="shared" si="37"/>
        <v>2</v>
      </c>
      <c r="N377" s="27" t="str">
        <f t="shared" si="38"/>
        <v>Small Family</v>
      </c>
      <c r="O377" s="27" t="str">
        <f t="shared" si="39"/>
        <v>Medium Fare</v>
      </c>
      <c r="P377" s="27" t="str">
        <f t="shared" si="40"/>
        <v>First Class</v>
      </c>
      <c r="Q377" s="27">
        <f t="shared" si="41"/>
        <v>2</v>
      </c>
    </row>
    <row r="378" spans="1:17" x14ac:dyDescent="0.3">
      <c r="A378" s="15">
        <v>377</v>
      </c>
      <c r="B378" s="15">
        <v>1</v>
      </c>
      <c r="C378" s="15">
        <v>3</v>
      </c>
      <c r="D378" s="8" t="s">
        <v>711</v>
      </c>
      <c r="E378" s="8" t="s">
        <v>14</v>
      </c>
      <c r="F378" s="24">
        <v>22</v>
      </c>
      <c r="G378" s="15">
        <v>0</v>
      </c>
      <c r="H378" s="15">
        <v>0</v>
      </c>
      <c r="I378" s="8" t="s">
        <v>712</v>
      </c>
      <c r="J378" s="20">
        <v>7.25</v>
      </c>
      <c r="K378" s="27" t="str">
        <f t="shared" si="35"/>
        <v>Survived</v>
      </c>
      <c r="L378" s="27" t="str">
        <f t="shared" si="36"/>
        <v>Young Adult</v>
      </c>
      <c r="M378" s="28">
        <f t="shared" si="37"/>
        <v>1</v>
      </c>
      <c r="N378" s="27" t="str">
        <f t="shared" si="38"/>
        <v>Alone</v>
      </c>
      <c r="O378" s="27" t="str">
        <f t="shared" si="39"/>
        <v>Low Fare</v>
      </c>
      <c r="P378" s="27" t="str">
        <f t="shared" si="40"/>
        <v>Third Class</v>
      </c>
      <c r="Q378" s="27">
        <f t="shared" si="41"/>
        <v>2</v>
      </c>
    </row>
    <row r="379" spans="1:17" x14ac:dyDescent="0.3">
      <c r="A379" s="16">
        <v>378</v>
      </c>
      <c r="B379" s="16">
        <v>0</v>
      </c>
      <c r="C379" s="16">
        <v>1</v>
      </c>
      <c r="D379" s="11" t="s">
        <v>713</v>
      </c>
      <c r="E379" s="11" t="s">
        <v>11</v>
      </c>
      <c r="F379" s="25">
        <v>27</v>
      </c>
      <c r="G379" s="16">
        <v>0</v>
      </c>
      <c r="H379" s="16">
        <v>2</v>
      </c>
      <c r="I379" s="11" t="s">
        <v>714</v>
      </c>
      <c r="J379" s="21">
        <v>211.5</v>
      </c>
      <c r="K379" s="27" t="str">
        <f t="shared" si="35"/>
        <v>Died</v>
      </c>
      <c r="L379" s="27" t="str">
        <f t="shared" si="36"/>
        <v>Young Adult</v>
      </c>
      <c r="M379" s="28">
        <f t="shared" si="37"/>
        <v>3</v>
      </c>
      <c r="N379" s="27" t="str">
        <f t="shared" si="38"/>
        <v>Small Family</v>
      </c>
      <c r="O379" s="27" t="str">
        <f t="shared" si="39"/>
        <v>High Fare</v>
      </c>
      <c r="P379" s="27" t="str">
        <f t="shared" si="40"/>
        <v>First Class</v>
      </c>
      <c r="Q379" s="27">
        <f t="shared" si="41"/>
        <v>1</v>
      </c>
    </row>
    <row r="380" spans="1:17" x14ac:dyDescent="0.3">
      <c r="A380" s="15">
        <v>379</v>
      </c>
      <c r="B380" s="15">
        <v>0</v>
      </c>
      <c r="C380" s="15">
        <v>3</v>
      </c>
      <c r="D380" s="8" t="s">
        <v>715</v>
      </c>
      <c r="E380" s="8" t="s">
        <v>11</v>
      </c>
      <c r="F380" s="24">
        <v>20</v>
      </c>
      <c r="G380" s="15">
        <v>0</v>
      </c>
      <c r="H380" s="15">
        <v>0</v>
      </c>
      <c r="I380" s="8" t="s">
        <v>716</v>
      </c>
      <c r="J380" s="20">
        <v>4.0125000000000002</v>
      </c>
      <c r="K380" s="27" t="str">
        <f t="shared" si="35"/>
        <v>Died</v>
      </c>
      <c r="L380" s="27" t="str">
        <f t="shared" si="36"/>
        <v>Young Adult</v>
      </c>
      <c r="M380" s="28">
        <f t="shared" si="37"/>
        <v>1</v>
      </c>
      <c r="N380" s="27" t="str">
        <f t="shared" si="38"/>
        <v>Alone</v>
      </c>
      <c r="O380" s="27" t="str">
        <f t="shared" si="39"/>
        <v>Low Fare</v>
      </c>
      <c r="P380" s="27" t="str">
        <f t="shared" si="40"/>
        <v>Third Class</v>
      </c>
      <c r="Q380" s="27">
        <f t="shared" si="41"/>
        <v>1</v>
      </c>
    </row>
    <row r="381" spans="1:17" x14ac:dyDescent="0.3">
      <c r="A381" s="16">
        <v>380</v>
      </c>
      <c r="B381" s="16">
        <v>0</v>
      </c>
      <c r="C381" s="16">
        <v>3</v>
      </c>
      <c r="D381" s="11" t="s">
        <v>717</v>
      </c>
      <c r="E381" s="11" t="s">
        <v>11</v>
      </c>
      <c r="F381" s="25">
        <v>19</v>
      </c>
      <c r="G381" s="16">
        <v>0</v>
      </c>
      <c r="H381" s="16">
        <v>0</v>
      </c>
      <c r="I381" s="11" t="s">
        <v>718</v>
      </c>
      <c r="J381" s="21">
        <v>7.7750000000000004</v>
      </c>
      <c r="K381" s="27" t="str">
        <f t="shared" si="35"/>
        <v>Died</v>
      </c>
      <c r="L381" s="27" t="str">
        <f t="shared" si="36"/>
        <v>Young Adult</v>
      </c>
      <c r="M381" s="28">
        <f t="shared" si="37"/>
        <v>1</v>
      </c>
      <c r="N381" s="27" t="str">
        <f t="shared" si="38"/>
        <v>Alone</v>
      </c>
      <c r="O381" s="27" t="str">
        <f t="shared" si="39"/>
        <v>Low Fare</v>
      </c>
      <c r="P381" s="27" t="str">
        <f t="shared" si="40"/>
        <v>Third Class</v>
      </c>
      <c r="Q381" s="27">
        <f t="shared" si="41"/>
        <v>1</v>
      </c>
    </row>
    <row r="382" spans="1:17" x14ac:dyDescent="0.3">
      <c r="A382" s="15">
        <v>381</v>
      </c>
      <c r="B382" s="15">
        <v>1</v>
      </c>
      <c r="C382" s="15">
        <v>1</v>
      </c>
      <c r="D382" s="8" t="s">
        <v>719</v>
      </c>
      <c r="E382" s="8" t="s">
        <v>14</v>
      </c>
      <c r="F382" s="24">
        <v>42</v>
      </c>
      <c r="G382" s="15">
        <v>0</v>
      </c>
      <c r="H382" s="15">
        <v>0</v>
      </c>
      <c r="I382" s="8" t="s">
        <v>720</v>
      </c>
      <c r="J382" s="20">
        <v>227.52500000000001</v>
      </c>
      <c r="K382" s="27" t="str">
        <f t="shared" si="35"/>
        <v>Survived</v>
      </c>
      <c r="L382" s="27" t="str">
        <f t="shared" si="36"/>
        <v>Adult</v>
      </c>
      <c r="M382" s="28">
        <f t="shared" si="37"/>
        <v>1</v>
      </c>
      <c r="N382" s="27" t="str">
        <f t="shared" si="38"/>
        <v>Alone</v>
      </c>
      <c r="O382" s="27" t="str">
        <f t="shared" si="39"/>
        <v>High Fare</v>
      </c>
      <c r="P382" s="27" t="str">
        <f t="shared" si="40"/>
        <v>First Class</v>
      </c>
      <c r="Q382" s="27">
        <f t="shared" si="41"/>
        <v>2</v>
      </c>
    </row>
    <row r="383" spans="1:17" x14ac:dyDescent="0.3">
      <c r="A383" s="16">
        <v>382</v>
      </c>
      <c r="B383" s="16">
        <v>1</v>
      </c>
      <c r="C383" s="16">
        <v>3</v>
      </c>
      <c r="D383" s="11" t="s">
        <v>721</v>
      </c>
      <c r="E383" s="11" t="s">
        <v>14</v>
      </c>
      <c r="F383" s="25">
        <v>1</v>
      </c>
      <c r="G383" s="16">
        <v>0</v>
      </c>
      <c r="H383" s="16">
        <v>2</v>
      </c>
      <c r="I383" s="11" t="s">
        <v>722</v>
      </c>
      <c r="J383" s="21">
        <v>15.7417</v>
      </c>
      <c r="K383" s="27" t="str">
        <f t="shared" si="35"/>
        <v>Survived</v>
      </c>
      <c r="L383" s="27" t="str">
        <f t="shared" si="36"/>
        <v>Child</v>
      </c>
      <c r="M383" s="28">
        <f t="shared" si="37"/>
        <v>3</v>
      </c>
      <c r="N383" s="27" t="str">
        <f t="shared" si="38"/>
        <v>Small Family</v>
      </c>
      <c r="O383" s="27" t="str">
        <f t="shared" si="39"/>
        <v>Low Fare</v>
      </c>
      <c r="P383" s="27" t="str">
        <f t="shared" si="40"/>
        <v>Third Class</v>
      </c>
      <c r="Q383" s="27">
        <f t="shared" si="41"/>
        <v>2</v>
      </c>
    </row>
    <row r="384" spans="1:17" x14ac:dyDescent="0.3">
      <c r="A384" s="15">
        <v>383</v>
      </c>
      <c r="B384" s="15">
        <v>0</v>
      </c>
      <c r="C384" s="15">
        <v>3</v>
      </c>
      <c r="D384" s="8" t="s">
        <v>723</v>
      </c>
      <c r="E384" s="8" t="s">
        <v>11</v>
      </c>
      <c r="F384" s="24">
        <v>32</v>
      </c>
      <c r="G384" s="15">
        <v>0</v>
      </c>
      <c r="H384" s="15">
        <v>0</v>
      </c>
      <c r="I384" s="8" t="s">
        <v>724</v>
      </c>
      <c r="J384" s="20">
        <v>7.9249999999999998</v>
      </c>
      <c r="K384" s="27" t="str">
        <f t="shared" si="35"/>
        <v>Died</v>
      </c>
      <c r="L384" s="27" t="str">
        <f t="shared" si="36"/>
        <v>Young Adult</v>
      </c>
      <c r="M384" s="28">
        <f t="shared" si="37"/>
        <v>1</v>
      </c>
      <c r="N384" s="27" t="str">
        <f t="shared" si="38"/>
        <v>Alone</v>
      </c>
      <c r="O384" s="27" t="str">
        <f t="shared" si="39"/>
        <v>Low Fare</v>
      </c>
      <c r="P384" s="27" t="str">
        <f t="shared" si="40"/>
        <v>Third Class</v>
      </c>
      <c r="Q384" s="27">
        <f t="shared" si="41"/>
        <v>1</v>
      </c>
    </row>
    <row r="385" spans="1:17" x14ac:dyDescent="0.3">
      <c r="A385" s="16">
        <v>384</v>
      </c>
      <c r="B385" s="16">
        <v>1</v>
      </c>
      <c r="C385" s="16">
        <v>1</v>
      </c>
      <c r="D385" s="11" t="s">
        <v>725</v>
      </c>
      <c r="E385" s="11" t="s">
        <v>14</v>
      </c>
      <c r="F385" s="25">
        <v>35</v>
      </c>
      <c r="G385" s="16">
        <v>1</v>
      </c>
      <c r="H385" s="16">
        <v>0</v>
      </c>
      <c r="I385" s="11" t="s">
        <v>82</v>
      </c>
      <c r="J385" s="21">
        <v>52</v>
      </c>
      <c r="K385" s="27" t="str">
        <f t="shared" si="35"/>
        <v>Survived</v>
      </c>
      <c r="L385" s="27" t="str">
        <f t="shared" si="36"/>
        <v>Adult</v>
      </c>
      <c r="M385" s="28">
        <f t="shared" si="37"/>
        <v>2</v>
      </c>
      <c r="N385" s="27" t="str">
        <f t="shared" si="38"/>
        <v>Small Family</v>
      </c>
      <c r="O385" s="27" t="str">
        <f t="shared" si="39"/>
        <v>Medium Fare</v>
      </c>
      <c r="P385" s="27" t="str">
        <f t="shared" si="40"/>
        <v>First Class</v>
      </c>
      <c r="Q385" s="27">
        <f t="shared" si="41"/>
        <v>2</v>
      </c>
    </row>
    <row r="386" spans="1:17" x14ac:dyDescent="0.3">
      <c r="A386" s="15">
        <v>385</v>
      </c>
      <c r="B386" s="15">
        <v>0</v>
      </c>
      <c r="C386" s="15">
        <v>3</v>
      </c>
      <c r="D386" s="8" t="s">
        <v>726</v>
      </c>
      <c r="E386" s="8" t="s">
        <v>11</v>
      </c>
      <c r="F386" s="24">
        <v>26</v>
      </c>
      <c r="G386" s="15">
        <v>0</v>
      </c>
      <c r="H386" s="15">
        <v>0</v>
      </c>
      <c r="I386" s="8" t="s">
        <v>727</v>
      </c>
      <c r="J386" s="20">
        <v>7.8958000000000004</v>
      </c>
      <c r="K386" s="27" t="str">
        <f t="shared" ref="K386:K449" si="42">IF(B386=1, "Survived", "Died")</f>
        <v>Died</v>
      </c>
      <c r="L386" s="27" t="str">
        <f t="shared" ref="L386:L449" si="43">IF(F386&lt;18, "Child", IF(F386&lt;35, "Young Adult", IF(F386&lt;60, "Adult", "Senior")))</f>
        <v>Young Adult</v>
      </c>
      <c r="M386" s="28">
        <f t="shared" ref="M386:M449" si="44">G386+H386+1</f>
        <v>1</v>
      </c>
      <c r="N386" s="27" t="str">
        <f t="shared" ref="N386:N449" si="45">IF(M386=1,"Alone",IF(M386&lt;=4,"Small Family","Large Family"))</f>
        <v>Alone</v>
      </c>
      <c r="O386" s="27" t="str">
        <f t="shared" ref="O386:O449" si="46">IF(J386&lt;25, "Low Fare", IF(J386&lt;=100, "Medium Fare", "High Fare"))</f>
        <v>Low Fare</v>
      </c>
      <c r="P386" s="27" t="str">
        <f t="shared" ref="P386:P449" si="47">IF(C386=1, "First Class", IF(C386=2, "Second Class", "Third Class"))</f>
        <v>Third Class</v>
      </c>
      <c r="Q386" s="27">
        <f t="shared" ref="Q386:Q449" si="48">IF(E386="male", 1, 2)</f>
        <v>1</v>
      </c>
    </row>
    <row r="387" spans="1:17" x14ac:dyDescent="0.3">
      <c r="A387" s="16">
        <v>386</v>
      </c>
      <c r="B387" s="16">
        <v>0</v>
      </c>
      <c r="C387" s="16">
        <v>2</v>
      </c>
      <c r="D387" s="11" t="s">
        <v>728</v>
      </c>
      <c r="E387" s="11" t="s">
        <v>11</v>
      </c>
      <c r="F387" s="25">
        <v>18</v>
      </c>
      <c r="G387" s="16">
        <v>0</v>
      </c>
      <c r="H387" s="16">
        <v>0</v>
      </c>
      <c r="I387" s="11" t="s">
        <v>155</v>
      </c>
      <c r="J387" s="21">
        <v>73.5</v>
      </c>
      <c r="K387" s="27" t="str">
        <f t="shared" si="42"/>
        <v>Died</v>
      </c>
      <c r="L387" s="27" t="str">
        <f t="shared" si="43"/>
        <v>Young Adult</v>
      </c>
      <c r="M387" s="28">
        <f t="shared" si="44"/>
        <v>1</v>
      </c>
      <c r="N387" s="27" t="str">
        <f t="shared" si="45"/>
        <v>Alone</v>
      </c>
      <c r="O387" s="27" t="str">
        <f t="shared" si="46"/>
        <v>Medium Fare</v>
      </c>
      <c r="P387" s="27" t="str">
        <f t="shared" si="47"/>
        <v>Second Class</v>
      </c>
      <c r="Q387" s="27">
        <f t="shared" si="48"/>
        <v>1</v>
      </c>
    </row>
    <row r="388" spans="1:17" x14ac:dyDescent="0.3">
      <c r="A388" s="15">
        <v>387</v>
      </c>
      <c r="B388" s="15">
        <v>0</v>
      </c>
      <c r="C388" s="15">
        <v>3</v>
      </c>
      <c r="D388" s="8" t="s">
        <v>729</v>
      </c>
      <c r="E388" s="8" t="s">
        <v>11</v>
      </c>
      <c r="F388" s="24">
        <v>1</v>
      </c>
      <c r="G388" s="15">
        <v>5</v>
      </c>
      <c r="H388" s="15">
        <v>2</v>
      </c>
      <c r="I388" s="8" t="s">
        <v>130</v>
      </c>
      <c r="J388" s="20">
        <v>46.9</v>
      </c>
      <c r="K388" s="27" t="str">
        <f t="shared" si="42"/>
        <v>Died</v>
      </c>
      <c r="L388" s="27" t="str">
        <f t="shared" si="43"/>
        <v>Child</v>
      </c>
      <c r="M388" s="28">
        <f t="shared" si="44"/>
        <v>8</v>
      </c>
      <c r="N388" s="27" t="str">
        <f t="shared" si="45"/>
        <v>Large Family</v>
      </c>
      <c r="O388" s="27" t="str">
        <f t="shared" si="46"/>
        <v>Medium Fare</v>
      </c>
      <c r="P388" s="27" t="str">
        <f t="shared" si="47"/>
        <v>Third Class</v>
      </c>
      <c r="Q388" s="27">
        <f t="shared" si="48"/>
        <v>1</v>
      </c>
    </row>
    <row r="389" spans="1:17" x14ac:dyDescent="0.3">
      <c r="A389" s="16">
        <v>388</v>
      </c>
      <c r="B389" s="16">
        <v>1</v>
      </c>
      <c r="C389" s="16">
        <v>2</v>
      </c>
      <c r="D389" s="11" t="s">
        <v>730</v>
      </c>
      <c r="E389" s="11" t="s">
        <v>14</v>
      </c>
      <c r="F389" s="25">
        <v>36</v>
      </c>
      <c r="G389" s="16">
        <v>0</v>
      </c>
      <c r="H389" s="16">
        <v>0</v>
      </c>
      <c r="I389" s="11" t="s">
        <v>731</v>
      </c>
      <c r="J389" s="21">
        <v>13</v>
      </c>
      <c r="K389" s="27" t="str">
        <f t="shared" si="42"/>
        <v>Survived</v>
      </c>
      <c r="L389" s="27" t="str">
        <f t="shared" si="43"/>
        <v>Adult</v>
      </c>
      <c r="M389" s="28">
        <f t="shared" si="44"/>
        <v>1</v>
      </c>
      <c r="N389" s="27" t="str">
        <f t="shared" si="45"/>
        <v>Alone</v>
      </c>
      <c r="O389" s="27" t="str">
        <f t="shared" si="46"/>
        <v>Low Fare</v>
      </c>
      <c r="P389" s="27" t="str">
        <f t="shared" si="47"/>
        <v>Second Class</v>
      </c>
      <c r="Q389" s="27">
        <f t="shared" si="48"/>
        <v>2</v>
      </c>
    </row>
    <row r="390" spans="1:17" x14ac:dyDescent="0.3">
      <c r="A390" s="15">
        <v>389</v>
      </c>
      <c r="B390" s="15">
        <v>0</v>
      </c>
      <c r="C390" s="15">
        <v>3</v>
      </c>
      <c r="D390" s="8" t="s">
        <v>732</v>
      </c>
      <c r="E390" s="8" t="s">
        <v>11</v>
      </c>
      <c r="F390" s="24">
        <v>26</v>
      </c>
      <c r="G390" s="15">
        <v>0</v>
      </c>
      <c r="H390" s="15">
        <v>0</v>
      </c>
      <c r="I390" s="8" t="s">
        <v>733</v>
      </c>
      <c r="J390" s="20">
        <v>7.7291999999999996</v>
      </c>
      <c r="K390" s="27" t="str">
        <f t="shared" si="42"/>
        <v>Died</v>
      </c>
      <c r="L390" s="27" t="str">
        <f t="shared" si="43"/>
        <v>Young Adult</v>
      </c>
      <c r="M390" s="28">
        <f t="shared" si="44"/>
        <v>1</v>
      </c>
      <c r="N390" s="27" t="str">
        <f t="shared" si="45"/>
        <v>Alone</v>
      </c>
      <c r="O390" s="27" t="str">
        <f t="shared" si="46"/>
        <v>Low Fare</v>
      </c>
      <c r="P390" s="27" t="str">
        <f t="shared" si="47"/>
        <v>Third Class</v>
      </c>
      <c r="Q390" s="27">
        <f t="shared" si="48"/>
        <v>1</v>
      </c>
    </row>
    <row r="391" spans="1:17" x14ac:dyDescent="0.3">
      <c r="A391" s="16">
        <v>390</v>
      </c>
      <c r="B391" s="16">
        <v>1</v>
      </c>
      <c r="C391" s="16">
        <v>2</v>
      </c>
      <c r="D391" s="11" t="s">
        <v>734</v>
      </c>
      <c r="E391" s="11" t="s">
        <v>14</v>
      </c>
      <c r="F391" s="25">
        <v>17</v>
      </c>
      <c r="G391" s="16">
        <v>0</v>
      </c>
      <c r="H391" s="16">
        <v>0</v>
      </c>
      <c r="I391" s="11" t="s">
        <v>735</v>
      </c>
      <c r="J391" s="21">
        <v>12</v>
      </c>
      <c r="K391" s="27" t="str">
        <f t="shared" si="42"/>
        <v>Survived</v>
      </c>
      <c r="L391" s="27" t="str">
        <f t="shared" si="43"/>
        <v>Child</v>
      </c>
      <c r="M391" s="28">
        <f t="shared" si="44"/>
        <v>1</v>
      </c>
      <c r="N391" s="27" t="str">
        <f t="shared" si="45"/>
        <v>Alone</v>
      </c>
      <c r="O391" s="27" t="str">
        <f t="shared" si="46"/>
        <v>Low Fare</v>
      </c>
      <c r="P391" s="27" t="str">
        <f t="shared" si="47"/>
        <v>Second Class</v>
      </c>
      <c r="Q391" s="27">
        <f t="shared" si="48"/>
        <v>2</v>
      </c>
    </row>
    <row r="392" spans="1:17" x14ac:dyDescent="0.3">
      <c r="A392" s="15">
        <v>391</v>
      </c>
      <c r="B392" s="15">
        <v>1</v>
      </c>
      <c r="C392" s="15">
        <v>1</v>
      </c>
      <c r="D392" s="8" t="s">
        <v>736</v>
      </c>
      <c r="E392" s="8" t="s">
        <v>11</v>
      </c>
      <c r="F392" s="24">
        <v>36</v>
      </c>
      <c r="G392" s="15">
        <v>1</v>
      </c>
      <c r="H392" s="15">
        <v>2</v>
      </c>
      <c r="I392" s="8" t="s">
        <v>737</v>
      </c>
      <c r="J392" s="20">
        <v>120</v>
      </c>
      <c r="K392" s="27" t="str">
        <f t="shared" si="42"/>
        <v>Survived</v>
      </c>
      <c r="L392" s="27" t="str">
        <f t="shared" si="43"/>
        <v>Adult</v>
      </c>
      <c r="M392" s="28">
        <f t="shared" si="44"/>
        <v>4</v>
      </c>
      <c r="N392" s="27" t="str">
        <f t="shared" si="45"/>
        <v>Small Family</v>
      </c>
      <c r="O392" s="27" t="str">
        <f t="shared" si="46"/>
        <v>High Fare</v>
      </c>
      <c r="P392" s="27" t="str">
        <f t="shared" si="47"/>
        <v>First Class</v>
      </c>
      <c r="Q392" s="27">
        <f t="shared" si="48"/>
        <v>1</v>
      </c>
    </row>
    <row r="393" spans="1:17" x14ac:dyDescent="0.3">
      <c r="A393" s="16">
        <v>392</v>
      </c>
      <c r="B393" s="16">
        <v>1</v>
      </c>
      <c r="C393" s="16">
        <v>3</v>
      </c>
      <c r="D393" s="11" t="s">
        <v>738</v>
      </c>
      <c r="E393" s="11" t="s">
        <v>11</v>
      </c>
      <c r="F393" s="25">
        <v>21</v>
      </c>
      <c r="G393" s="16">
        <v>0</v>
      </c>
      <c r="H393" s="16">
        <v>0</v>
      </c>
      <c r="I393" s="11" t="s">
        <v>739</v>
      </c>
      <c r="J393" s="21">
        <v>7.7957999999999998</v>
      </c>
      <c r="K393" s="27" t="str">
        <f t="shared" si="42"/>
        <v>Survived</v>
      </c>
      <c r="L393" s="27" t="str">
        <f t="shared" si="43"/>
        <v>Young Adult</v>
      </c>
      <c r="M393" s="28">
        <f t="shared" si="44"/>
        <v>1</v>
      </c>
      <c r="N393" s="27" t="str">
        <f t="shared" si="45"/>
        <v>Alone</v>
      </c>
      <c r="O393" s="27" t="str">
        <f t="shared" si="46"/>
        <v>Low Fare</v>
      </c>
      <c r="P393" s="27" t="str">
        <f t="shared" si="47"/>
        <v>Third Class</v>
      </c>
      <c r="Q393" s="27">
        <f t="shared" si="48"/>
        <v>1</v>
      </c>
    </row>
    <row r="394" spans="1:17" x14ac:dyDescent="0.3">
      <c r="A394" s="15">
        <v>393</v>
      </c>
      <c r="B394" s="15">
        <v>0</v>
      </c>
      <c r="C394" s="15">
        <v>3</v>
      </c>
      <c r="D394" s="8" t="s">
        <v>740</v>
      </c>
      <c r="E394" s="8" t="s">
        <v>11</v>
      </c>
      <c r="F394" s="24">
        <v>28</v>
      </c>
      <c r="G394" s="15">
        <v>2</v>
      </c>
      <c r="H394" s="15">
        <v>0</v>
      </c>
      <c r="I394" s="8" t="s">
        <v>741</v>
      </c>
      <c r="J394" s="20">
        <v>7.9249999999999998</v>
      </c>
      <c r="K394" s="27" t="str">
        <f t="shared" si="42"/>
        <v>Died</v>
      </c>
      <c r="L394" s="27" t="str">
        <f t="shared" si="43"/>
        <v>Young Adult</v>
      </c>
      <c r="M394" s="28">
        <f t="shared" si="44"/>
        <v>3</v>
      </c>
      <c r="N394" s="27" t="str">
        <f t="shared" si="45"/>
        <v>Small Family</v>
      </c>
      <c r="O394" s="27" t="str">
        <f t="shared" si="46"/>
        <v>Low Fare</v>
      </c>
      <c r="P394" s="27" t="str">
        <f t="shared" si="47"/>
        <v>Third Class</v>
      </c>
      <c r="Q394" s="27">
        <f t="shared" si="48"/>
        <v>1</v>
      </c>
    </row>
    <row r="395" spans="1:17" x14ac:dyDescent="0.3">
      <c r="A395" s="16">
        <v>394</v>
      </c>
      <c r="B395" s="16">
        <v>1</v>
      </c>
      <c r="C395" s="16">
        <v>1</v>
      </c>
      <c r="D395" s="11" t="s">
        <v>742</v>
      </c>
      <c r="E395" s="11" t="s">
        <v>14</v>
      </c>
      <c r="F395" s="25">
        <v>23</v>
      </c>
      <c r="G395" s="16">
        <v>1</v>
      </c>
      <c r="H395" s="16">
        <v>0</v>
      </c>
      <c r="I395" s="11" t="s">
        <v>421</v>
      </c>
      <c r="J395" s="21">
        <v>113.27500000000001</v>
      </c>
      <c r="K395" s="27" t="str">
        <f t="shared" si="42"/>
        <v>Survived</v>
      </c>
      <c r="L395" s="27" t="str">
        <f t="shared" si="43"/>
        <v>Young Adult</v>
      </c>
      <c r="M395" s="28">
        <f t="shared" si="44"/>
        <v>2</v>
      </c>
      <c r="N395" s="27" t="str">
        <f t="shared" si="45"/>
        <v>Small Family</v>
      </c>
      <c r="O395" s="27" t="str">
        <f t="shared" si="46"/>
        <v>High Fare</v>
      </c>
      <c r="P395" s="27" t="str">
        <f t="shared" si="47"/>
        <v>First Class</v>
      </c>
      <c r="Q395" s="27">
        <f t="shared" si="48"/>
        <v>2</v>
      </c>
    </row>
    <row r="396" spans="1:17" x14ac:dyDescent="0.3">
      <c r="A396" s="15">
        <v>395</v>
      </c>
      <c r="B396" s="15">
        <v>1</v>
      </c>
      <c r="C396" s="15">
        <v>3</v>
      </c>
      <c r="D396" s="8" t="s">
        <v>743</v>
      </c>
      <c r="E396" s="8" t="s">
        <v>14</v>
      </c>
      <c r="F396" s="24">
        <v>24</v>
      </c>
      <c r="G396" s="15">
        <v>0</v>
      </c>
      <c r="H396" s="15">
        <v>2</v>
      </c>
      <c r="I396" s="8" t="s">
        <v>33</v>
      </c>
      <c r="J396" s="20">
        <v>16.7</v>
      </c>
      <c r="K396" s="27" t="str">
        <f t="shared" si="42"/>
        <v>Survived</v>
      </c>
      <c r="L396" s="27" t="str">
        <f t="shared" si="43"/>
        <v>Young Adult</v>
      </c>
      <c r="M396" s="28">
        <f t="shared" si="44"/>
        <v>3</v>
      </c>
      <c r="N396" s="27" t="str">
        <f t="shared" si="45"/>
        <v>Small Family</v>
      </c>
      <c r="O396" s="27" t="str">
        <f t="shared" si="46"/>
        <v>Low Fare</v>
      </c>
      <c r="P396" s="27" t="str">
        <f t="shared" si="47"/>
        <v>Third Class</v>
      </c>
      <c r="Q396" s="27">
        <f t="shared" si="48"/>
        <v>2</v>
      </c>
    </row>
    <row r="397" spans="1:17" x14ac:dyDescent="0.3">
      <c r="A397" s="16">
        <v>396</v>
      </c>
      <c r="B397" s="16">
        <v>0</v>
      </c>
      <c r="C397" s="16">
        <v>3</v>
      </c>
      <c r="D397" s="11" t="s">
        <v>744</v>
      </c>
      <c r="E397" s="11" t="s">
        <v>11</v>
      </c>
      <c r="F397" s="25">
        <v>22</v>
      </c>
      <c r="G397" s="16">
        <v>0</v>
      </c>
      <c r="H397" s="16">
        <v>0</v>
      </c>
      <c r="I397" s="11" t="s">
        <v>745</v>
      </c>
      <c r="J397" s="21">
        <v>7.7957999999999998</v>
      </c>
      <c r="K397" s="27" t="str">
        <f t="shared" si="42"/>
        <v>Died</v>
      </c>
      <c r="L397" s="27" t="str">
        <f t="shared" si="43"/>
        <v>Young Adult</v>
      </c>
      <c r="M397" s="28">
        <f t="shared" si="44"/>
        <v>1</v>
      </c>
      <c r="N397" s="27" t="str">
        <f t="shared" si="45"/>
        <v>Alone</v>
      </c>
      <c r="O397" s="27" t="str">
        <f t="shared" si="46"/>
        <v>Low Fare</v>
      </c>
      <c r="P397" s="27" t="str">
        <f t="shared" si="47"/>
        <v>Third Class</v>
      </c>
      <c r="Q397" s="27">
        <f t="shared" si="48"/>
        <v>1</v>
      </c>
    </row>
    <row r="398" spans="1:17" x14ac:dyDescent="0.3">
      <c r="A398" s="15">
        <v>397</v>
      </c>
      <c r="B398" s="15">
        <v>0</v>
      </c>
      <c r="C398" s="15">
        <v>3</v>
      </c>
      <c r="D398" s="8" t="s">
        <v>746</v>
      </c>
      <c r="E398" s="8" t="s">
        <v>14</v>
      </c>
      <c r="F398" s="24">
        <v>31</v>
      </c>
      <c r="G398" s="15">
        <v>0</v>
      </c>
      <c r="H398" s="15">
        <v>0</v>
      </c>
      <c r="I398" s="8" t="s">
        <v>747</v>
      </c>
      <c r="J398" s="20">
        <v>7.8541999999999996</v>
      </c>
      <c r="K398" s="27" t="str">
        <f t="shared" si="42"/>
        <v>Died</v>
      </c>
      <c r="L398" s="27" t="str">
        <f t="shared" si="43"/>
        <v>Young Adult</v>
      </c>
      <c r="M398" s="28">
        <f t="shared" si="44"/>
        <v>1</v>
      </c>
      <c r="N398" s="27" t="str">
        <f t="shared" si="45"/>
        <v>Alone</v>
      </c>
      <c r="O398" s="27" t="str">
        <f t="shared" si="46"/>
        <v>Low Fare</v>
      </c>
      <c r="P398" s="27" t="str">
        <f t="shared" si="47"/>
        <v>Third Class</v>
      </c>
      <c r="Q398" s="27">
        <f t="shared" si="48"/>
        <v>2</v>
      </c>
    </row>
    <row r="399" spans="1:17" x14ac:dyDescent="0.3">
      <c r="A399" s="16">
        <v>398</v>
      </c>
      <c r="B399" s="16">
        <v>0</v>
      </c>
      <c r="C399" s="16">
        <v>2</v>
      </c>
      <c r="D399" s="11" t="s">
        <v>748</v>
      </c>
      <c r="E399" s="11" t="s">
        <v>11</v>
      </c>
      <c r="F399" s="25">
        <v>46</v>
      </c>
      <c r="G399" s="16">
        <v>0</v>
      </c>
      <c r="H399" s="16">
        <v>0</v>
      </c>
      <c r="I399" s="11" t="s">
        <v>749</v>
      </c>
      <c r="J399" s="21">
        <v>26</v>
      </c>
      <c r="K399" s="27" t="str">
        <f t="shared" si="42"/>
        <v>Died</v>
      </c>
      <c r="L399" s="27" t="str">
        <f t="shared" si="43"/>
        <v>Adult</v>
      </c>
      <c r="M399" s="28">
        <f t="shared" si="44"/>
        <v>1</v>
      </c>
      <c r="N399" s="27" t="str">
        <f t="shared" si="45"/>
        <v>Alone</v>
      </c>
      <c r="O399" s="27" t="str">
        <f t="shared" si="46"/>
        <v>Medium Fare</v>
      </c>
      <c r="P399" s="27" t="str">
        <f t="shared" si="47"/>
        <v>Second Class</v>
      </c>
      <c r="Q399" s="27">
        <f t="shared" si="48"/>
        <v>1</v>
      </c>
    </row>
    <row r="400" spans="1:17" x14ac:dyDescent="0.3">
      <c r="A400" s="15">
        <v>399</v>
      </c>
      <c r="B400" s="15">
        <v>0</v>
      </c>
      <c r="C400" s="15">
        <v>2</v>
      </c>
      <c r="D400" s="8" t="s">
        <v>750</v>
      </c>
      <c r="E400" s="8" t="s">
        <v>11</v>
      </c>
      <c r="F400" s="24">
        <v>23</v>
      </c>
      <c r="G400" s="15">
        <v>0</v>
      </c>
      <c r="H400" s="15">
        <v>0</v>
      </c>
      <c r="I400" s="8" t="s">
        <v>751</v>
      </c>
      <c r="J400" s="20">
        <v>10.5</v>
      </c>
      <c r="K400" s="27" t="str">
        <f t="shared" si="42"/>
        <v>Died</v>
      </c>
      <c r="L400" s="27" t="str">
        <f t="shared" si="43"/>
        <v>Young Adult</v>
      </c>
      <c r="M400" s="28">
        <f t="shared" si="44"/>
        <v>1</v>
      </c>
      <c r="N400" s="27" t="str">
        <f t="shared" si="45"/>
        <v>Alone</v>
      </c>
      <c r="O400" s="27" t="str">
        <f t="shared" si="46"/>
        <v>Low Fare</v>
      </c>
      <c r="P400" s="27" t="str">
        <f t="shared" si="47"/>
        <v>Second Class</v>
      </c>
      <c r="Q400" s="27">
        <f t="shared" si="48"/>
        <v>1</v>
      </c>
    </row>
    <row r="401" spans="1:17" x14ac:dyDescent="0.3">
      <c r="A401" s="16">
        <v>400</v>
      </c>
      <c r="B401" s="16">
        <v>1</v>
      </c>
      <c r="C401" s="16">
        <v>2</v>
      </c>
      <c r="D401" s="11" t="s">
        <v>752</v>
      </c>
      <c r="E401" s="11" t="s">
        <v>14</v>
      </c>
      <c r="F401" s="25">
        <v>28</v>
      </c>
      <c r="G401" s="16">
        <v>0</v>
      </c>
      <c r="H401" s="16">
        <v>0</v>
      </c>
      <c r="I401" s="11" t="s">
        <v>753</v>
      </c>
      <c r="J401" s="21">
        <v>12.65</v>
      </c>
      <c r="K401" s="27" t="str">
        <f t="shared" si="42"/>
        <v>Survived</v>
      </c>
      <c r="L401" s="27" t="str">
        <f t="shared" si="43"/>
        <v>Young Adult</v>
      </c>
      <c r="M401" s="28">
        <f t="shared" si="44"/>
        <v>1</v>
      </c>
      <c r="N401" s="27" t="str">
        <f t="shared" si="45"/>
        <v>Alone</v>
      </c>
      <c r="O401" s="27" t="str">
        <f t="shared" si="46"/>
        <v>Low Fare</v>
      </c>
      <c r="P401" s="27" t="str">
        <f t="shared" si="47"/>
        <v>Second Class</v>
      </c>
      <c r="Q401" s="27">
        <f t="shared" si="48"/>
        <v>2</v>
      </c>
    </row>
    <row r="402" spans="1:17" x14ac:dyDescent="0.3">
      <c r="A402" s="15">
        <v>401</v>
      </c>
      <c r="B402" s="15">
        <v>1</v>
      </c>
      <c r="C402" s="15">
        <v>3</v>
      </c>
      <c r="D402" s="8" t="s">
        <v>754</v>
      </c>
      <c r="E402" s="8" t="s">
        <v>11</v>
      </c>
      <c r="F402" s="24">
        <v>39</v>
      </c>
      <c r="G402" s="15">
        <v>0</v>
      </c>
      <c r="H402" s="15">
        <v>0</v>
      </c>
      <c r="I402" s="8" t="s">
        <v>755</v>
      </c>
      <c r="J402" s="20">
        <v>7.9249999999999998</v>
      </c>
      <c r="K402" s="27" t="str">
        <f t="shared" si="42"/>
        <v>Survived</v>
      </c>
      <c r="L402" s="27" t="str">
        <f t="shared" si="43"/>
        <v>Adult</v>
      </c>
      <c r="M402" s="28">
        <f t="shared" si="44"/>
        <v>1</v>
      </c>
      <c r="N402" s="27" t="str">
        <f t="shared" si="45"/>
        <v>Alone</v>
      </c>
      <c r="O402" s="27" t="str">
        <f t="shared" si="46"/>
        <v>Low Fare</v>
      </c>
      <c r="P402" s="27" t="str">
        <f t="shared" si="47"/>
        <v>Third Class</v>
      </c>
      <c r="Q402" s="27">
        <f t="shared" si="48"/>
        <v>1</v>
      </c>
    </row>
    <row r="403" spans="1:17" x14ac:dyDescent="0.3">
      <c r="A403" s="16">
        <v>402</v>
      </c>
      <c r="B403" s="16">
        <v>0</v>
      </c>
      <c r="C403" s="16">
        <v>3</v>
      </c>
      <c r="D403" s="11" t="s">
        <v>756</v>
      </c>
      <c r="E403" s="11" t="s">
        <v>11</v>
      </c>
      <c r="F403" s="25">
        <v>26</v>
      </c>
      <c r="G403" s="16">
        <v>0</v>
      </c>
      <c r="H403" s="16">
        <v>0</v>
      </c>
      <c r="I403" s="11" t="s">
        <v>757</v>
      </c>
      <c r="J403" s="21">
        <v>8.0500000000000007</v>
      </c>
      <c r="K403" s="27" t="str">
        <f t="shared" si="42"/>
        <v>Died</v>
      </c>
      <c r="L403" s="27" t="str">
        <f t="shared" si="43"/>
        <v>Young Adult</v>
      </c>
      <c r="M403" s="28">
        <f t="shared" si="44"/>
        <v>1</v>
      </c>
      <c r="N403" s="27" t="str">
        <f t="shared" si="45"/>
        <v>Alone</v>
      </c>
      <c r="O403" s="27" t="str">
        <f t="shared" si="46"/>
        <v>Low Fare</v>
      </c>
      <c r="P403" s="27" t="str">
        <f t="shared" si="47"/>
        <v>Third Class</v>
      </c>
      <c r="Q403" s="27">
        <f t="shared" si="48"/>
        <v>1</v>
      </c>
    </row>
    <row r="404" spans="1:17" x14ac:dyDescent="0.3">
      <c r="A404" s="15">
        <v>403</v>
      </c>
      <c r="B404" s="15">
        <v>0</v>
      </c>
      <c r="C404" s="15">
        <v>3</v>
      </c>
      <c r="D404" s="8" t="s">
        <v>758</v>
      </c>
      <c r="E404" s="8" t="s">
        <v>14</v>
      </c>
      <c r="F404" s="24">
        <v>21</v>
      </c>
      <c r="G404" s="15">
        <v>1</v>
      </c>
      <c r="H404" s="15">
        <v>0</v>
      </c>
      <c r="I404" s="8" t="s">
        <v>759</v>
      </c>
      <c r="J404" s="20">
        <v>9.8249999999999993</v>
      </c>
      <c r="K404" s="27" t="str">
        <f t="shared" si="42"/>
        <v>Died</v>
      </c>
      <c r="L404" s="27" t="str">
        <f t="shared" si="43"/>
        <v>Young Adult</v>
      </c>
      <c r="M404" s="28">
        <f t="shared" si="44"/>
        <v>2</v>
      </c>
      <c r="N404" s="27" t="str">
        <f t="shared" si="45"/>
        <v>Small Family</v>
      </c>
      <c r="O404" s="27" t="str">
        <f t="shared" si="46"/>
        <v>Low Fare</v>
      </c>
      <c r="P404" s="27" t="str">
        <f t="shared" si="47"/>
        <v>Third Class</v>
      </c>
      <c r="Q404" s="27">
        <f t="shared" si="48"/>
        <v>2</v>
      </c>
    </row>
    <row r="405" spans="1:17" x14ac:dyDescent="0.3">
      <c r="A405" s="16">
        <v>404</v>
      </c>
      <c r="B405" s="16">
        <v>0</v>
      </c>
      <c r="C405" s="16">
        <v>3</v>
      </c>
      <c r="D405" s="11" t="s">
        <v>760</v>
      </c>
      <c r="E405" s="11" t="s">
        <v>11</v>
      </c>
      <c r="F405" s="25">
        <v>28</v>
      </c>
      <c r="G405" s="16">
        <v>1</v>
      </c>
      <c r="H405" s="16">
        <v>0</v>
      </c>
      <c r="I405" s="11" t="s">
        <v>287</v>
      </c>
      <c r="J405" s="21">
        <v>15.85</v>
      </c>
      <c r="K405" s="27" t="str">
        <f t="shared" si="42"/>
        <v>Died</v>
      </c>
      <c r="L405" s="27" t="str">
        <f t="shared" si="43"/>
        <v>Young Adult</v>
      </c>
      <c r="M405" s="28">
        <f t="shared" si="44"/>
        <v>2</v>
      </c>
      <c r="N405" s="27" t="str">
        <f t="shared" si="45"/>
        <v>Small Family</v>
      </c>
      <c r="O405" s="27" t="str">
        <f t="shared" si="46"/>
        <v>Low Fare</v>
      </c>
      <c r="P405" s="27" t="str">
        <f t="shared" si="47"/>
        <v>Third Class</v>
      </c>
      <c r="Q405" s="27">
        <f t="shared" si="48"/>
        <v>1</v>
      </c>
    </row>
    <row r="406" spans="1:17" x14ac:dyDescent="0.3">
      <c r="A406" s="15">
        <v>405</v>
      </c>
      <c r="B406" s="15">
        <v>0</v>
      </c>
      <c r="C406" s="15">
        <v>3</v>
      </c>
      <c r="D406" s="8" t="s">
        <v>761</v>
      </c>
      <c r="E406" s="8" t="s">
        <v>14</v>
      </c>
      <c r="F406" s="24">
        <v>20</v>
      </c>
      <c r="G406" s="15">
        <v>0</v>
      </c>
      <c r="H406" s="15">
        <v>0</v>
      </c>
      <c r="I406" s="8" t="s">
        <v>762</v>
      </c>
      <c r="J406" s="20">
        <v>8.6624999999999996</v>
      </c>
      <c r="K406" s="27" t="str">
        <f t="shared" si="42"/>
        <v>Died</v>
      </c>
      <c r="L406" s="27" t="str">
        <f t="shared" si="43"/>
        <v>Young Adult</v>
      </c>
      <c r="M406" s="28">
        <f t="shared" si="44"/>
        <v>1</v>
      </c>
      <c r="N406" s="27" t="str">
        <f t="shared" si="45"/>
        <v>Alone</v>
      </c>
      <c r="O406" s="27" t="str">
        <f t="shared" si="46"/>
        <v>Low Fare</v>
      </c>
      <c r="P406" s="27" t="str">
        <f t="shared" si="47"/>
        <v>Third Class</v>
      </c>
      <c r="Q406" s="27">
        <f t="shared" si="48"/>
        <v>2</v>
      </c>
    </row>
    <row r="407" spans="1:17" x14ac:dyDescent="0.3">
      <c r="A407" s="16">
        <v>406</v>
      </c>
      <c r="B407" s="16">
        <v>0</v>
      </c>
      <c r="C407" s="16">
        <v>2</v>
      </c>
      <c r="D407" s="11" t="s">
        <v>763</v>
      </c>
      <c r="E407" s="11" t="s">
        <v>11</v>
      </c>
      <c r="F407" s="25">
        <v>34</v>
      </c>
      <c r="G407" s="16">
        <v>1</v>
      </c>
      <c r="H407" s="16">
        <v>0</v>
      </c>
      <c r="I407" s="11" t="s">
        <v>764</v>
      </c>
      <c r="J407" s="21">
        <v>21</v>
      </c>
      <c r="K407" s="27" t="str">
        <f t="shared" si="42"/>
        <v>Died</v>
      </c>
      <c r="L407" s="27" t="str">
        <f t="shared" si="43"/>
        <v>Young Adult</v>
      </c>
      <c r="M407" s="28">
        <f t="shared" si="44"/>
        <v>2</v>
      </c>
      <c r="N407" s="27" t="str">
        <f t="shared" si="45"/>
        <v>Small Family</v>
      </c>
      <c r="O407" s="27" t="str">
        <f t="shared" si="46"/>
        <v>Low Fare</v>
      </c>
      <c r="P407" s="27" t="str">
        <f t="shared" si="47"/>
        <v>Second Class</v>
      </c>
      <c r="Q407" s="27">
        <f t="shared" si="48"/>
        <v>1</v>
      </c>
    </row>
    <row r="408" spans="1:17" x14ac:dyDescent="0.3">
      <c r="A408" s="15">
        <v>407</v>
      </c>
      <c r="B408" s="15">
        <v>0</v>
      </c>
      <c r="C408" s="15">
        <v>3</v>
      </c>
      <c r="D408" s="8" t="s">
        <v>765</v>
      </c>
      <c r="E408" s="8" t="s">
        <v>11</v>
      </c>
      <c r="F408" s="24">
        <v>51</v>
      </c>
      <c r="G408" s="15">
        <v>0</v>
      </c>
      <c r="H408" s="15">
        <v>0</v>
      </c>
      <c r="I408" s="8" t="s">
        <v>766</v>
      </c>
      <c r="J408" s="20">
        <v>7.75</v>
      </c>
      <c r="K408" s="27" t="str">
        <f t="shared" si="42"/>
        <v>Died</v>
      </c>
      <c r="L408" s="27" t="str">
        <f t="shared" si="43"/>
        <v>Adult</v>
      </c>
      <c r="M408" s="28">
        <f t="shared" si="44"/>
        <v>1</v>
      </c>
      <c r="N408" s="27" t="str">
        <f t="shared" si="45"/>
        <v>Alone</v>
      </c>
      <c r="O408" s="27" t="str">
        <f t="shared" si="46"/>
        <v>Low Fare</v>
      </c>
      <c r="P408" s="27" t="str">
        <f t="shared" si="47"/>
        <v>Third Class</v>
      </c>
      <c r="Q408" s="27">
        <f t="shared" si="48"/>
        <v>1</v>
      </c>
    </row>
    <row r="409" spans="1:17" x14ac:dyDescent="0.3">
      <c r="A409" s="16">
        <v>408</v>
      </c>
      <c r="B409" s="16">
        <v>1</v>
      </c>
      <c r="C409" s="16">
        <v>2</v>
      </c>
      <c r="D409" s="11" t="s">
        <v>767</v>
      </c>
      <c r="E409" s="11" t="s">
        <v>11</v>
      </c>
      <c r="F409" s="25">
        <v>3</v>
      </c>
      <c r="G409" s="16">
        <v>1</v>
      </c>
      <c r="H409" s="16">
        <v>1</v>
      </c>
      <c r="I409" s="11" t="s">
        <v>768</v>
      </c>
      <c r="J409" s="21">
        <v>18.75</v>
      </c>
      <c r="K409" s="27" t="str">
        <f t="shared" si="42"/>
        <v>Survived</v>
      </c>
      <c r="L409" s="27" t="str">
        <f t="shared" si="43"/>
        <v>Child</v>
      </c>
      <c r="M409" s="28">
        <f t="shared" si="44"/>
        <v>3</v>
      </c>
      <c r="N409" s="27" t="str">
        <f t="shared" si="45"/>
        <v>Small Family</v>
      </c>
      <c r="O409" s="27" t="str">
        <f t="shared" si="46"/>
        <v>Low Fare</v>
      </c>
      <c r="P409" s="27" t="str">
        <f t="shared" si="47"/>
        <v>Second Class</v>
      </c>
      <c r="Q409" s="27">
        <f t="shared" si="48"/>
        <v>1</v>
      </c>
    </row>
    <row r="410" spans="1:17" x14ac:dyDescent="0.3">
      <c r="A410" s="15">
        <v>409</v>
      </c>
      <c r="B410" s="15">
        <v>0</v>
      </c>
      <c r="C410" s="15">
        <v>3</v>
      </c>
      <c r="D410" s="8" t="s">
        <v>769</v>
      </c>
      <c r="E410" s="8" t="s">
        <v>11</v>
      </c>
      <c r="F410" s="24">
        <v>21</v>
      </c>
      <c r="G410" s="15">
        <v>0</v>
      </c>
      <c r="H410" s="15">
        <v>0</v>
      </c>
      <c r="I410" s="8" t="s">
        <v>770</v>
      </c>
      <c r="J410" s="20">
        <v>7.7750000000000004</v>
      </c>
      <c r="K410" s="27" t="str">
        <f t="shared" si="42"/>
        <v>Died</v>
      </c>
      <c r="L410" s="27" t="str">
        <f t="shared" si="43"/>
        <v>Young Adult</v>
      </c>
      <c r="M410" s="28">
        <f t="shared" si="44"/>
        <v>1</v>
      </c>
      <c r="N410" s="27" t="str">
        <f t="shared" si="45"/>
        <v>Alone</v>
      </c>
      <c r="O410" s="27" t="str">
        <f t="shared" si="46"/>
        <v>Low Fare</v>
      </c>
      <c r="P410" s="27" t="str">
        <f t="shared" si="47"/>
        <v>Third Class</v>
      </c>
      <c r="Q410" s="27">
        <f t="shared" si="48"/>
        <v>1</v>
      </c>
    </row>
    <row r="411" spans="1:17" x14ac:dyDescent="0.3">
      <c r="A411" s="16">
        <v>410</v>
      </c>
      <c r="B411" s="16">
        <v>0</v>
      </c>
      <c r="C411" s="16">
        <v>3</v>
      </c>
      <c r="D411" s="11" t="s">
        <v>771</v>
      </c>
      <c r="E411" s="11" t="s">
        <v>14</v>
      </c>
      <c r="F411" s="25">
        <v>26</v>
      </c>
      <c r="G411" s="16">
        <v>3</v>
      </c>
      <c r="H411" s="16">
        <v>1</v>
      </c>
      <c r="I411" s="11" t="s">
        <v>349</v>
      </c>
      <c r="J411" s="21">
        <v>25.466699999999999</v>
      </c>
      <c r="K411" s="27" t="str">
        <f t="shared" si="42"/>
        <v>Died</v>
      </c>
      <c r="L411" s="27" t="str">
        <f t="shared" si="43"/>
        <v>Young Adult</v>
      </c>
      <c r="M411" s="28">
        <f t="shared" si="44"/>
        <v>5</v>
      </c>
      <c r="N411" s="27" t="str">
        <f t="shared" si="45"/>
        <v>Large Family</v>
      </c>
      <c r="O411" s="27" t="str">
        <f t="shared" si="46"/>
        <v>Medium Fare</v>
      </c>
      <c r="P411" s="27" t="str">
        <f t="shared" si="47"/>
        <v>Third Class</v>
      </c>
      <c r="Q411" s="27">
        <f t="shared" si="48"/>
        <v>2</v>
      </c>
    </row>
    <row r="412" spans="1:17" x14ac:dyDescent="0.3">
      <c r="A412" s="15">
        <v>411</v>
      </c>
      <c r="B412" s="15">
        <v>0</v>
      </c>
      <c r="C412" s="15">
        <v>3</v>
      </c>
      <c r="D412" s="8" t="s">
        <v>772</v>
      </c>
      <c r="E412" s="8" t="s">
        <v>11</v>
      </c>
      <c r="F412" s="24">
        <v>26</v>
      </c>
      <c r="G412" s="15">
        <v>0</v>
      </c>
      <c r="H412" s="15">
        <v>0</v>
      </c>
      <c r="I412" s="8" t="s">
        <v>773</v>
      </c>
      <c r="J412" s="20">
        <v>7.8958000000000004</v>
      </c>
      <c r="K412" s="27" t="str">
        <f t="shared" si="42"/>
        <v>Died</v>
      </c>
      <c r="L412" s="27" t="str">
        <f t="shared" si="43"/>
        <v>Young Adult</v>
      </c>
      <c r="M412" s="28">
        <f t="shared" si="44"/>
        <v>1</v>
      </c>
      <c r="N412" s="27" t="str">
        <f t="shared" si="45"/>
        <v>Alone</v>
      </c>
      <c r="O412" s="27" t="str">
        <f t="shared" si="46"/>
        <v>Low Fare</v>
      </c>
      <c r="P412" s="27" t="str">
        <f t="shared" si="47"/>
        <v>Third Class</v>
      </c>
      <c r="Q412" s="27">
        <f t="shared" si="48"/>
        <v>1</v>
      </c>
    </row>
    <row r="413" spans="1:17" x14ac:dyDescent="0.3">
      <c r="A413" s="16">
        <v>412</v>
      </c>
      <c r="B413" s="16">
        <v>0</v>
      </c>
      <c r="C413" s="16">
        <v>3</v>
      </c>
      <c r="D413" s="11" t="s">
        <v>774</v>
      </c>
      <c r="E413" s="11" t="s">
        <v>11</v>
      </c>
      <c r="F413" s="25">
        <v>26</v>
      </c>
      <c r="G413" s="16">
        <v>0</v>
      </c>
      <c r="H413" s="16">
        <v>0</v>
      </c>
      <c r="I413" s="11" t="s">
        <v>775</v>
      </c>
      <c r="J413" s="21">
        <v>6.8582999999999998</v>
      </c>
      <c r="K413" s="27" t="str">
        <f t="shared" si="42"/>
        <v>Died</v>
      </c>
      <c r="L413" s="27" t="str">
        <f t="shared" si="43"/>
        <v>Young Adult</v>
      </c>
      <c r="M413" s="28">
        <f t="shared" si="44"/>
        <v>1</v>
      </c>
      <c r="N413" s="27" t="str">
        <f t="shared" si="45"/>
        <v>Alone</v>
      </c>
      <c r="O413" s="27" t="str">
        <f t="shared" si="46"/>
        <v>Low Fare</v>
      </c>
      <c r="P413" s="27" t="str">
        <f t="shared" si="47"/>
        <v>Third Class</v>
      </c>
      <c r="Q413" s="27">
        <f t="shared" si="48"/>
        <v>1</v>
      </c>
    </row>
    <row r="414" spans="1:17" x14ac:dyDescent="0.3">
      <c r="A414" s="15">
        <v>413</v>
      </c>
      <c r="B414" s="15">
        <v>1</v>
      </c>
      <c r="C414" s="15">
        <v>1</v>
      </c>
      <c r="D414" s="8" t="s">
        <v>776</v>
      </c>
      <c r="E414" s="8" t="s">
        <v>14</v>
      </c>
      <c r="F414" s="24">
        <v>33</v>
      </c>
      <c r="G414" s="15">
        <v>1</v>
      </c>
      <c r="H414" s="15">
        <v>0</v>
      </c>
      <c r="I414" s="8" t="s">
        <v>477</v>
      </c>
      <c r="J414" s="20">
        <v>90</v>
      </c>
      <c r="K414" s="27" t="str">
        <f t="shared" si="42"/>
        <v>Survived</v>
      </c>
      <c r="L414" s="27" t="str">
        <f t="shared" si="43"/>
        <v>Young Adult</v>
      </c>
      <c r="M414" s="28">
        <f t="shared" si="44"/>
        <v>2</v>
      </c>
      <c r="N414" s="27" t="str">
        <f t="shared" si="45"/>
        <v>Small Family</v>
      </c>
      <c r="O414" s="27" t="str">
        <f t="shared" si="46"/>
        <v>Medium Fare</v>
      </c>
      <c r="P414" s="27" t="str">
        <f t="shared" si="47"/>
        <v>First Class</v>
      </c>
      <c r="Q414" s="27">
        <f t="shared" si="48"/>
        <v>2</v>
      </c>
    </row>
    <row r="415" spans="1:17" x14ac:dyDescent="0.3">
      <c r="A415" s="16">
        <v>414</v>
      </c>
      <c r="B415" s="16">
        <v>0</v>
      </c>
      <c r="C415" s="16">
        <v>2</v>
      </c>
      <c r="D415" s="11" t="s">
        <v>777</v>
      </c>
      <c r="E415" s="11" t="s">
        <v>11</v>
      </c>
      <c r="F415" s="25">
        <v>26</v>
      </c>
      <c r="G415" s="16">
        <v>0</v>
      </c>
      <c r="H415" s="16">
        <v>0</v>
      </c>
      <c r="I415" s="11" t="s">
        <v>537</v>
      </c>
      <c r="J415" s="21">
        <v>0</v>
      </c>
      <c r="K415" s="27" t="str">
        <f t="shared" si="42"/>
        <v>Died</v>
      </c>
      <c r="L415" s="27" t="str">
        <f t="shared" si="43"/>
        <v>Young Adult</v>
      </c>
      <c r="M415" s="28">
        <f t="shared" si="44"/>
        <v>1</v>
      </c>
      <c r="N415" s="27" t="str">
        <f t="shared" si="45"/>
        <v>Alone</v>
      </c>
      <c r="O415" s="27" t="str">
        <f t="shared" si="46"/>
        <v>Low Fare</v>
      </c>
      <c r="P415" s="27" t="str">
        <f t="shared" si="47"/>
        <v>Second Class</v>
      </c>
      <c r="Q415" s="27">
        <f t="shared" si="48"/>
        <v>1</v>
      </c>
    </row>
    <row r="416" spans="1:17" x14ac:dyDescent="0.3">
      <c r="A416" s="15">
        <v>415</v>
      </c>
      <c r="B416" s="15">
        <v>1</v>
      </c>
      <c r="C416" s="15">
        <v>3</v>
      </c>
      <c r="D416" s="8" t="s">
        <v>778</v>
      </c>
      <c r="E416" s="8" t="s">
        <v>11</v>
      </c>
      <c r="F416" s="24">
        <v>44</v>
      </c>
      <c r="G416" s="15">
        <v>0</v>
      </c>
      <c r="H416" s="15">
        <v>0</v>
      </c>
      <c r="I416" s="8" t="s">
        <v>779</v>
      </c>
      <c r="J416" s="20">
        <v>7.9249999999999998</v>
      </c>
      <c r="K416" s="27" t="str">
        <f t="shared" si="42"/>
        <v>Survived</v>
      </c>
      <c r="L416" s="27" t="str">
        <f t="shared" si="43"/>
        <v>Adult</v>
      </c>
      <c r="M416" s="28">
        <f t="shared" si="44"/>
        <v>1</v>
      </c>
      <c r="N416" s="27" t="str">
        <f t="shared" si="45"/>
        <v>Alone</v>
      </c>
      <c r="O416" s="27" t="str">
        <f t="shared" si="46"/>
        <v>Low Fare</v>
      </c>
      <c r="P416" s="27" t="str">
        <f t="shared" si="47"/>
        <v>Third Class</v>
      </c>
      <c r="Q416" s="27">
        <f t="shared" si="48"/>
        <v>1</v>
      </c>
    </row>
    <row r="417" spans="1:17" x14ac:dyDescent="0.3">
      <c r="A417" s="16">
        <v>416</v>
      </c>
      <c r="B417" s="16">
        <v>0</v>
      </c>
      <c r="C417" s="16">
        <v>3</v>
      </c>
      <c r="D417" s="11" t="s">
        <v>780</v>
      </c>
      <c r="E417" s="11" t="s">
        <v>14</v>
      </c>
      <c r="F417" s="25">
        <v>26</v>
      </c>
      <c r="G417" s="16">
        <v>0</v>
      </c>
      <c r="H417" s="16">
        <v>0</v>
      </c>
      <c r="I417" s="11" t="s">
        <v>781</v>
      </c>
      <c r="J417" s="21">
        <v>8.0500000000000007</v>
      </c>
      <c r="K417" s="27" t="str">
        <f t="shared" si="42"/>
        <v>Died</v>
      </c>
      <c r="L417" s="27" t="str">
        <f t="shared" si="43"/>
        <v>Young Adult</v>
      </c>
      <c r="M417" s="28">
        <f t="shared" si="44"/>
        <v>1</v>
      </c>
      <c r="N417" s="27" t="str">
        <f t="shared" si="45"/>
        <v>Alone</v>
      </c>
      <c r="O417" s="27" t="str">
        <f t="shared" si="46"/>
        <v>Low Fare</v>
      </c>
      <c r="P417" s="27" t="str">
        <f t="shared" si="47"/>
        <v>Third Class</v>
      </c>
      <c r="Q417" s="27">
        <f t="shared" si="48"/>
        <v>2</v>
      </c>
    </row>
    <row r="418" spans="1:17" x14ac:dyDescent="0.3">
      <c r="A418" s="15">
        <v>417</v>
      </c>
      <c r="B418" s="15">
        <v>1</v>
      </c>
      <c r="C418" s="15">
        <v>2</v>
      </c>
      <c r="D418" s="8" t="s">
        <v>782</v>
      </c>
      <c r="E418" s="8" t="s">
        <v>14</v>
      </c>
      <c r="F418" s="24">
        <v>34</v>
      </c>
      <c r="G418" s="15">
        <v>1</v>
      </c>
      <c r="H418" s="15">
        <v>1</v>
      </c>
      <c r="I418" s="8" t="s">
        <v>783</v>
      </c>
      <c r="J418" s="20">
        <v>32.5</v>
      </c>
      <c r="K418" s="27" t="str">
        <f t="shared" si="42"/>
        <v>Survived</v>
      </c>
      <c r="L418" s="27" t="str">
        <f t="shared" si="43"/>
        <v>Young Adult</v>
      </c>
      <c r="M418" s="28">
        <f t="shared" si="44"/>
        <v>3</v>
      </c>
      <c r="N418" s="27" t="str">
        <f t="shared" si="45"/>
        <v>Small Family</v>
      </c>
      <c r="O418" s="27" t="str">
        <f t="shared" si="46"/>
        <v>Medium Fare</v>
      </c>
      <c r="P418" s="27" t="str">
        <f t="shared" si="47"/>
        <v>Second Class</v>
      </c>
      <c r="Q418" s="27">
        <f t="shared" si="48"/>
        <v>2</v>
      </c>
    </row>
    <row r="419" spans="1:17" x14ac:dyDescent="0.3">
      <c r="A419" s="16">
        <v>418</v>
      </c>
      <c r="B419" s="16">
        <v>1</v>
      </c>
      <c r="C419" s="16">
        <v>2</v>
      </c>
      <c r="D419" s="11" t="s">
        <v>784</v>
      </c>
      <c r="E419" s="11" t="s">
        <v>14</v>
      </c>
      <c r="F419" s="25">
        <v>18</v>
      </c>
      <c r="G419" s="16">
        <v>0</v>
      </c>
      <c r="H419" s="16">
        <v>2</v>
      </c>
      <c r="I419" s="11" t="s">
        <v>785</v>
      </c>
      <c r="J419" s="21">
        <v>13</v>
      </c>
      <c r="K419" s="27" t="str">
        <f t="shared" si="42"/>
        <v>Survived</v>
      </c>
      <c r="L419" s="27" t="str">
        <f t="shared" si="43"/>
        <v>Young Adult</v>
      </c>
      <c r="M419" s="28">
        <f t="shared" si="44"/>
        <v>3</v>
      </c>
      <c r="N419" s="27" t="str">
        <f t="shared" si="45"/>
        <v>Small Family</v>
      </c>
      <c r="O419" s="27" t="str">
        <f t="shared" si="46"/>
        <v>Low Fare</v>
      </c>
      <c r="P419" s="27" t="str">
        <f t="shared" si="47"/>
        <v>Second Class</v>
      </c>
      <c r="Q419" s="27">
        <f t="shared" si="48"/>
        <v>2</v>
      </c>
    </row>
    <row r="420" spans="1:17" x14ac:dyDescent="0.3">
      <c r="A420" s="15">
        <v>419</v>
      </c>
      <c r="B420" s="15">
        <v>0</v>
      </c>
      <c r="C420" s="15">
        <v>2</v>
      </c>
      <c r="D420" s="8" t="s">
        <v>786</v>
      </c>
      <c r="E420" s="8" t="s">
        <v>11</v>
      </c>
      <c r="F420" s="24">
        <v>30</v>
      </c>
      <c r="G420" s="15">
        <v>0</v>
      </c>
      <c r="H420" s="15">
        <v>0</v>
      </c>
      <c r="I420" s="8" t="s">
        <v>787</v>
      </c>
      <c r="J420" s="20">
        <v>13</v>
      </c>
      <c r="K420" s="27" t="str">
        <f t="shared" si="42"/>
        <v>Died</v>
      </c>
      <c r="L420" s="27" t="str">
        <f t="shared" si="43"/>
        <v>Young Adult</v>
      </c>
      <c r="M420" s="28">
        <f t="shared" si="44"/>
        <v>1</v>
      </c>
      <c r="N420" s="27" t="str">
        <f t="shared" si="45"/>
        <v>Alone</v>
      </c>
      <c r="O420" s="27" t="str">
        <f t="shared" si="46"/>
        <v>Low Fare</v>
      </c>
      <c r="P420" s="27" t="str">
        <f t="shared" si="47"/>
        <v>Second Class</v>
      </c>
      <c r="Q420" s="27">
        <f t="shared" si="48"/>
        <v>1</v>
      </c>
    </row>
    <row r="421" spans="1:17" x14ac:dyDescent="0.3">
      <c r="A421" s="16">
        <v>420</v>
      </c>
      <c r="B421" s="16">
        <v>0</v>
      </c>
      <c r="C421" s="16">
        <v>3</v>
      </c>
      <c r="D421" s="11" t="s">
        <v>788</v>
      </c>
      <c r="E421" s="11" t="s">
        <v>14</v>
      </c>
      <c r="F421" s="25">
        <v>10</v>
      </c>
      <c r="G421" s="16">
        <v>0</v>
      </c>
      <c r="H421" s="16">
        <v>2</v>
      </c>
      <c r="I421" s="11" t="s">
        <v>789</v>
      </c>
      <c r="J421" s="21">
        <v>24.15</v>
      </c>
      <c r="K421" s="27" t="str">
        <f t="shared" si="42"/>
        <v>Died</v>
      </c>
      <c r="L421" s="27" t="str">
        <f t="shared" si="43"/>
        <v>Child</v>
      </c>
      <c r="M421" s="28">
        <f t="shared" si="44"/>
        <v>3</v>
      </c>
      <c r="N421" s="27" t="str">
        <f t="shared" si="45"/>
        <v>Small Family</v>
      </c>
      <c r="O421" s="27" t="str">
        <f t="shared" si="46"/>
        <v>Low Fare</v>
      </c>
      <c r="P421" s="27" t="str">
        <f t="shared" si="47"/>
        <v>Third Class</v>
      </c>
      <c r="Q421" s="27">
        <f t="shared" si="48"/>
        <v>2</v>
      </c>
    </row>
    <row r="422" spans="1:17" x14ac:dyDescent="0.3">
      <c r="A422" s="15">
        <v>421</v>
      </c>
      <c r="B422" s="15">
        <v>0</v>
      </c>
      <c r="C422" s="15">
        <v>3</v>
      </c>
      <c r="D422" s="8" t="s">
        <v>790</v>
      </c>
      <c r="E422" s="8" t="s">
        <v>11</v>
      </c>
      <c r="F422" s="24">
        <v>26</v>
      </c>
      <c r="G422" s="15">
        <v>0</v>
      </c>
      <c r="H422" s="15">
        <v>0</v>
      </c>
      <c r="I422" s="8" t="s">
        <v>791</v>
      </c>
      <c r="J422" s="20">
        <v>7.8958000000000004</v>
      </c>
      <c r="K422" s="27" t="str">
        <f t="shared" si="42"/>
        <v>Died</v>
      </c>
      <c r="L422" s="27" t="str">
        <f t="shared" si="43"/>
        <v>Young Adult</v>
      </c>
      <c r="M422" s="28">
        <f t="shared" si="44"/>
        <v>1</v>
      </c>
      <c r="N422" s="27" t="str">
        <f t="shared" si="45"/>
        <v>Alone</v>
      </c>
      <c r="O422" s="27" t="str">
        <f t="shared" si="46"/>
        <v>Low Fare</v>
      </c>
      <c r="P422" s="27" t="str">
        <f t="shared" si="47"/>
        <v>Third Class</v>
      </c>
      <c r="Q422" s="27">
        <f t="shared" si="48"/>
        <v>1</v>
      </c>
    </row>
    <row r="423" spans="1:17" x14ac:dyDescent="0.3">
      <c r="A423" s="16">
        <v>422</v>
      </c>
      <c r="B423" s="16">
        <v>0</v>
      </c>
      <c r="C423" s="16">
        <v>3</v>
      </c>
      <c r="D423" s="11" t="s">
        <v>792</v>
      </c>
      <c r="E423" s="11" t="s">
        <v>11</v>
      </c>
      <c r="F423" s="25">
        <v>21</v>
      </c>
      <c r="G423" s="16">
        <v>0</v>
      </c>
      <c r="H423" s="16">
        <v>0</v>
      </c>
      <c r="I423" s="11" t="s">
        <v>793</v>
      </c>
      <c r="J423" s="21">
        <v>7.7332999999999998</v>
      </c>
      <c r="K423" s="27" t="str">
        <f t="shared" si="42"/>
        <v>Died</v>
      </c>
      <c r="L423" s="27" t="str">
        <f t="shared" si="43"/>
        <v>Young Adult</v>
      </c>
      <c r="M423" s="28">
        <f t="shared" si="44"/>
        <v>1</v>
      </c>
      <c r="N423" s="27" t="str">
        <f t="shared" si="45"/>
        <v>Alone</v>
      </c>
      <c r="O423" s="27" t="str">
        <f t="shared" si="46"/>
        <v>Low Fare</v>
      </c>
      <c r="P423" s="27" t="str">
        <f t="shared" si="47"/>
        <v>Third Class</v>
      </c>
      <c r="Q423" s="27">
        <f t="shared" si="48"/>
        <v>1</v>
      </c>
    </row>
    <row r="424" spans="1:17" x14ac:dyDescent="0.3">
      <c r="A424" s="15">
        <v>423</v>
      </c>
      <c r="B424" s="15">
        <v>0</v>
      </c>
      <c r="C424" s="15">
        <v>3</v>
      </c>
      <c r="D424" s="8" t="s">
        <v>794</v>
      </c>
      <c r="E424" s="8" t="s">
        <v>11</v>
      </c>
      <c r="F424" s="24">
        <v>29</v>
      </c>
      <c r="G424" s="15">
        <v>0</v>
      </c>
      <c r="H424" s="15">
        <v>0</v>
      </c>
      <c r="I424" s="8" t="s">
        <v>795</v>
      </c>
      <c r="J424" s="20">
        <v>7.875</v>
      </c>
      <c r="K424" s="27" t="str">
        <f t="shared" si="42"/>
        <v>Died</v>
      </c>
      <c r="L424" s="27" t="str">
        <f t="shared" si="43"/>
        <v>Young Adult</v>
      </c>
      <c r="M424" s="28">
        <f t="shared" si="44"/>
        <v>1</v>
      </c>
      <c r="N424" s="27" t="str">
        <f t="shared" si="45"/>
        <v>Alone</v>
      </c>
      <c r="O424" s="27" t="str">
        <f t="shared" si="46"/>
        <v>Low Fare</v>
      </c>
      <c r="P424" s="27" t="str">
        <f t="shared" si="47"/>
        <v>Third Class</v>
      </c>
      <c r="Q424" s="27">
        <f t="shared" si="48"/>
        <v>1</v>
      </c>
    </row>
    <row r="425" spans="1:17" x14ac:dyDescent="0.3">
      <c r="A425" s="16">
        <v>424</v>
      </c>
      <c r="B425" s="16">
        <v>0</v>
      </c>
      <c r="C425" s="16">
        <v>3</v>
      </c>
      <c r="D425" s="11" t="s">
        <v>796</v>
      </c>
      <c r="E425" s="11" t="s">
        <v>14</v>
      </c>
      <c r="F425" s="25">
        <v>28</v>
      </c>
      <c r="G425" s="16">
        <v>1</v>
      </c>
      <c r="H425" s="16">
        <v>1</v>
      </c>
      <c r="I425" s="11" t="s">
        <v>797</v>
      </c>
      <c r="J425" s="21">
        <v>14.4</v>
      </c>
      <c r="K425" s="27" t="str">
        <f t="shared" si="42"/>
        <v>Died</v>
      </c>
      <c r="L425" s="27" t="str">
        <f t="shared" si="43"/>
        <v>Young Adult</v>
      </c>
      <c r="M425" s="28">
        <f t="shared" si="44"/>
        <v>3</v>
      </c>
      <c r="N425" s="27" t="str">
        <f t="shared" si="45"/>
        <v>Small Family</v>
      </c>
      <c r="O425" s="27" t="str">
        <f t="shared" si="46"/>
        <v>Low Fare</v>
      </c>
      <c r="P425" s="27" t="str">
        <f t="shared" si="47"/>
        <v>Third Class</v>
      </c>
      <c r="Q425" s="27">
        <f t="shared" si="48"/>
        <v>2</v>
      </c>
    </row>
    <row r="426" spans="1:17" x14ac:dyDescent="0.3">
      <c r="A426" s="15">
        <v>425</v>
      </c>
      <c r="B426" s="15">
        <v>0</v>
      </c>
      <c r="C426" s="15">
        <v>3</v>
      </c>
      <c r="D426" s="8" t="s">
        <v>798</v>
      </c>
      <c r="E426" s="8" t="s">
        <v>11</v>
      </c>
      <c r="F426" s="24">
        <v>18</v>
      </c>
      <c r="G426" s="15">
        <v>1</v>
      </c>
      <c r="H426" s="15">
        <v>1</v>
      </c>
      <c r="I426" s="8" t="s">
        <v>494</v>
      </c>
      <c r="J426" s="20">
        <v>20.212499999999999</v>
      </c>
      <c r="K426" s="27" t="str">
        <f t="shared" si="42"/>
        <v>Died</v>
      </c>
      <c r="L426" s="27" t="str">
        <f t="shared" si="43"/>
        <v>Young Adult</v>
      </c>
      <c r="M426" s="28">
        <f t="shared" si="44"/>
        <v>3</v>
      </c>
      <c r="N426" s="27" t="str">
        <f t="shared" si="45"/>
        <v>Small Family</v>
      </c>
      <c r="O426" s="27" t="str">
        <f t="shared" si="46"/>
        <v>Low Fare</v>
      </c>
      <c r="P426" s="27" t="str">
        <f t="shared" si="47"/>
        <v>Third Class</v>
      </c>
      <c r="Q426" s="27">
        <f t="shared" si="48"/>
        <v>1</v>
      </c>
    </row>
    <row r="427" spans="1:17" x14ac:dyDescent="0.3">
      <c r="A427" s="16">
        <v>426</v>
      </c>
      <c r="B427" s="16">
        <v>0</v>
      </c>
      <c r="C427" s="16">
        <v>3</v>
      </c>
      <c r="D427" s="11" t="s">
        <v>799</v>
      </c>
      <c r="E427" s="11" t="s">
        <v>11</v>
      </c>
      <c r="F427" s="25">
        <v>26</v>
      </c>
      <c r="G427" s="16">
        <v>0</v>
      </c>
      <c r="H427" s="16">
        <v>0</v>
      </c>
      <c r="I427" s="11" t="s">
        <v>800</v>
      </c>
      <c r="J427" s="21">
        <v>7.25</v>
      </c>
      <c r="K427" s="27" t="str">
        <f t="shared" si="42"/>
        <v>Died</v>
      </c>
      <c r="L427" s="27" t="str">
        <f t="shared" si="43"/>
        <v>Young Adult</v>
      </c>
      <c r="M427" s="28">
        <f t="shared" si="44"/>
        <v>1</v>
      </c>
      <c r="N427" s="27" t="str">
        <f t="shared" si="45"/>
        <v>Alone</v>
      </c>
      <c r="O427" s="27" t="str">
        <f t="shared" si="46"/>
        <v>Low Fare</v>
      </c>
      <c r="P427" s="27" t="str">
        <f t="shared" si="47"/>
        <v>Third Class</v>
      </c>
      <c r="Q427" s="27">
        <f t="shared" si="48"/>
        <v>1</v>
      </c>
    </row>
    <row r="428" spans="1:17" x14ac:dyDescent="0.3">
      <c r="A428" s="15">
        <v>427</v>
      </c>
      <c r="B428" s="15">
        <v>1</v>
      </c>
      <c r="C428" s="15">
        <v>2</v>
      </c>
      <c r="D428" s="8" t="s">
        <v>801</v>
      </c>
      <c r="E428" s="8" t="s">
        <v>14</v>
      </c>
      <c r="F428" s="24">
        <v>28</v>
      </c>
      <c r="G428" s="15">
        <v>1</v>
      </c>
      <c r="H428" s="15">
        <v>0</v>
      </c>
      <c r="I428" s="8" t="s">
        <v>802</v>
      </c>
      <c r="J428" s="20">
        <v>26</v>
      </c>
      <c r="K428" s="27" t="str">
        <f t="shared" si="42"/>
        <v>Survived</v>
      </c>
      <c r="L428" s="27" t="str">
        <f t="shared" si="43"/>
        <v>Young Adult</v>
      </c>
      <c r="M428" s="28">
        <f t="shared" si="44"/>
        <v>2</v>
      </c>
      <c r="N428" s="27" t="str">
        <f t="shared" si="45"/>
        <v>Small Family</v>
      </c>
      <c r="O428" s="27" t="str">
        <f t="shared" si="46"/>
        <v>Medium Fare</v>
      </c>
      <c r="P428" s="27" t="str">
        <f t="shared" si="47"/>
        <v>Second Class</v>
      </c>
      <c r="Q428" s="27">
        <f t="shared" si="48"/>
        <v>2</v>
      </c>
    </row>
    <row r="429" spans="1:17" x14ac:dyDescent="0.3">
      <c r="A429" s="16">
        <v>428</v>
      </c>
      <c r="B429" s="16">
        <v>1</v>
      </c>
      <c r="C429" s="16">
        <v>2</v>
      </c>
      <c r="D429" s="11" t="s">
        <v>803</v>
      </c>
      <c r="E429" s="11" t="s">
        <v>14</v>
      </c>
      <c r="F429" s="25">
        <v>19</v>
      </c>
      <c r="G429" s="16">
        <v>0</v>
      </c>
      <c r="H429" s="16">
        <v>0</v>
      </c>
      <c r="I429" s="11" t="s">
        <v>804</v>
      </c>
      <c r="J429" s="21">
        <v>26</v>
      </c>
      <c r="K429" s="27" t="str">
        <f t="shared" si="42"/>
        <v>Survived</v>
      </c>
      <c r="L429" s="27" t="str">
        <f t="shared" si="43"/>
        <v>Young Adult</v>
      </c>
      <c r="M429" s="28">
        <f t="shared" si="44"/>
        <v>1</v>
      </c>
      <c r="N429" s="27" t="str">
        <f t="shared" si="45"/>
        <v>Alone</v>
      </c>
      <c r="O429" s="27" t="str">
        <f t="shared" si="46"/>
        <v>Medium Fare</v>
      </c>
      <c r="P429" s="27" t="str">
        <f t="shared" si="47"/>
        <v>Second Class</v>
      </c>
      <c r="Q429" s="27">
        <f t="shared" si="48"/>
        <v>2</v>
      </c>
    </row>
    <row r="430" spans="1:17" x14ac:dyDescent="0.3">
      <c r="A430" s="15">
        <v>429</v>
      </c>
      <c r="B430" s="15">
        <v>0</v>
      </c>
      <c r="C430" s="15">
        <v>3</v>
      </c>
      <c r="D430" s="8" t="s">
        <v>805</v>
      </c>
      <c r="E430" s="8" t="s">
        <v>11</v>
      </c>
      <c r="F430" s="24">
        <v>26</v>
      </c>
      <c r="G430" s="15">
        <v>0</v>
      </c>
      <c r="H430" s="15">
        <v>0</v>
      </c>
      <c r="I430" s="8" t="s">
        <v>806</v>
      </c>
      <c r="J430" s="20">
        <v>7.75</v>
      </c>
      <c r="K430" s="27" t="str">
        <f t="shared" si="42"/>
        <v>Died</v>
      </c>
      <c r="L430" s="27" t="str">
        <f t="shared" si="43"/>
        <v>Young Adult</v>
      </c>
      <c r="M430" s="28">
        <f t="shared" si="44"/>
        <v>1</v>
      </c>
      <c r="N430" s="27" t="str">
        <f t="shared" si="45"/>
        <v>Alone</v>
      </c>
      <c r="O430" s="27" t="str">
        <f t="shared" si="46"/>
        <v>Low Fare</v>
      </c>
      <c r="P430" s="27" t="str">
        <f t="shared" si="47"/>
        <v>Third Class</v>
      </c>
      <c r="Q430" s="27">
        <f t="shared" si="48"/>
        <v>1</v>
      </c>
    </row>
    <row r="431" spans="1:17" x14ac:dyDescent="0.3">
      <c r="A431" s="16">
        <v>430</v>
      </c>
      <c r="B431" s="16">
        <v>1</v>
      </c>
      <c r="C431" s="16">
        <v>3</v>
      </c>
      <c r="D431" s="11" t="s">
        <v>807</v>
      </c>
      <c r="E431" s="11" t="s">
        <v>11</v>
      </c>
      <c r="F431" s="25">
        <v>32</v>
      </c>
      <c r="G431" s="16">
        <v>0</v>
      </c>
      <c r="H431" s="16">
        <v>0</v>
      </c>
      <c r="I431" s="11" t="s">
        <v>808</v>
      </c>
      <c r="J431" s="21">
        <v>8.0500000000000007</v>
      </c>
      <c r="K431" s="27" t="str">
        <f t="shared" si="42"/>
        <v>Survived</v>
      </c>
      <c r="L431" s="27" t="str">
        <f t="shared" si="43"/>
        <v>Young Adult</v>
      </c>
      <c r="M431" s="28">
        <f t="shared" si="44"/>
        <v>1</v>
      </c>
      <c r="N431" s="27" t="str">
        <f t="shared" si="45"/>
        <v>Alone</v>
      </c>
      <c r="O431" s="27" t="str">
        <f t="shared" si="46"/>
        <v>Low Fare</v>
      </c>
      <c r="P431" s="27" t="str">
        <f t="shared" si="47"/>
        <v>Third Class</v>
      </c>
      <c r="Q431" s="27">
        <f t="shared" si="48"/>
        <v>1</v>
      </c>
    </row>
    <row r="432" spans="1:17" x14ac:dyDescent="0.3">
      <c r="A432" s="15">
        <v>431</v>
      </c>
      <c r="B432" s="15">
        <v>1</v>
      </c>
      <c r="C432" s="15">
        <v>1</v>
      </c>
      <c r="D432" s="8" t="s">
        <v>809</v>
      </c>
      <c r="E432" s="8" t="s">
        <v>11</v>
      </c>
      <c r="F432" s="24">
        <v>28</v>
      </c>
      <c r="G432" s="15">
        <v>0</v>
      </c>
      <c r="H432" s="15">
        <v>0</v>
      </c>
      <c r="I432" s="8" t="s">
        <v>810</v>
      </c>
      <c r="J432" s="20">
        <v>26.55</v>
      </c>
      <c r="K432" s="27" t="str">
        <f t="shared" si="42"/>
        <v>Survived</v>
      </c>
      <c r="L432" s="27" t="str">
        <f t="shared" si="43"/>
        <v>Young Adult</v>
      </c>
      <c r="M432" s="28">
        <f t="shared" si="44"/>
        <v>1</v>
      </c>
      <c r="N432" s="27" t="str">
        <f t="shared" si="45"/>
        <v>Alone</v>
      </c>
      <c r="O432" s="27" t="str">
        <f t="shared" si="46"/>
        <v>Medium Fare</v>
      </c>
      <c r="P432" s="27" t="str">
        <f t="shared" si="47"/>
        <v>First Class</v>
      </c>
      <c r="Q432" s="27">
        <f t="shared" si="48"/>
        <v>1</v>
      </c>
    </row>
    <row r="433" spans="1:17" x14ac:dyDescent="0.3">
      <c r="A433" s="16">
        <v>432</v>
      </c>
      <c r="B433" s="16">
        <v>1</v>
      </c>
      <c r="C433" s="16">
        <v>3</v>
      </c>
      <c r="D433" s="11" t="s">
        <v>811</v>
      </c>
      <c r="E433" s="11" t="s">
        <v>14</v>
      </c>
      <c r="F433" s="25">
        <v>26</v>
      </c>
      <c r="G433" s="16">
        <v>1</v>
      </c>
      <c r="H433" s="16">
        <v>0</v>
      </c>
      <c r="I433" s="11" t="s">
        <v>812</v>
      </c>
      <c r="J433" s="21">
        <v>16.100000000000001</v>
      </c>
      <c r="K433" s="27" t="str">
        <f t="shared" si="42"/>
        <v>Survived</v>
      </c>
      <c r="L433" s="27" t="str">
        <f t="shared" si="43"/>
        <v>Young Adult</v>
      </c>
      <c r="M433" s="28">
        <f t="shared" si="44"/>
        <v>2</v>
      </c>
      <c r="N433" s="27" t="str">
        <f t="shared" si="45"/>
        <v>Small Family</v>
      </c>
      <c r="O433" s="27" t="str">
        <f t="shared" si="46"/>
        <v>Low Fare</v>
      </c>
      <c r="P433" s="27" t="str">
        <f t="shared" si="47"/>
        <v>Third Class</v>
      </c>
      <c r="Q433" s="27">
        <f t="shared" si="48"/>
        <v>2</v>
      </c>
    </row>
    <row r="434" spans="1:17" x14ac:dyDescent="0.3">
      <c r="A434" s="15">
        <v>433</v>
      </c>
      <c r="B434" s="15">
        <v>1</v>
      </c>
      <c r="C434" s="15">
        <v>2</v>
      </c>
      <c r="D434" s="8" t="s">
        <v>813</v>
      </c>
      <c r="E434" s="8" t="s">
        <v>14</v>
      </c>
      <c r="F434" s="24">
        <v>42</v>
      </c>
      <c r="G434" s="15">
        <v>1</v>
      </c>
      <c r="H434" s="15">
        <v>0</v>
      </c>
      <c r="I434" s="8" t="s">
        <v>814</v>
      </c>
      <c r="J434" s="20">
        <v>26</v>
      </c>
      <c r="K434" s="27" t="str">
        <f t="shared" si="42"/>
        <v>Survived</v>
      </c>
      <c r="L434" s="27" t="str">
        <f t="shared" si="43"/>
        <v>Adult</v>
      </c>
      <c r="M434" s="28">
        <f t="shared" si="44"/>
        <v>2</v>
      </c>
      <c r="N434" s="27" t="str">
        <f t="shared" si="45"/>
        <v>Small Family</v>
      </c>
      <c r="O434" s="27" t="str">
        <f t="shared" si="46"/>
        <v>Medium Fare</v>
      </c>
      <c r="P434" s="27" t="str">
        <f t="shared" si="47"/>
        <v>Second Class</v>
      </c>
      <c r="Q434" s="27">
        <f t="shared" si="48"/>
        <v>2</v>
      </c>
    </row>
    <row r="435" spans="1:17" x14ac:dyDescent="0.3">
      <c r="A435" s="16">
        <v>434</v>
      </c>
      <c r="B435" s="16">
        <v>0</v>
      </c>
      <c r="C435" s="16">
        <v>3</v>
      </c>
      <c r="D435" s="11" t="s">
        <v>815</v>
      </c>
      <c r="E435" s="11" t="s">
        <v>11</v>
      </c>
      <c r="F435" s="25">
        <v>17</v>
      </c>
      <c r="G435" s="16">
        <v>0</v>
      </c>
      <c r="H435" s="16">
        <v>0</v>
      </c>
      <c r="I435" s="11" t="s">
        <v>816</v>
      </c>
      <c r="J435" s="21">
        <v>7.125</v>
      </c>
      <c r="K435" s="27" t="str">
        <f t="shared" si="42"/>
        <v>Died</v>
      </c>
      <c r="L435" s="27" t="str">
        <f t="shared" si="43"/>
        <v>Child</v>
      </c>
      <c r="M435" s="28">
        <f t="shared" si="44"/>
        <v>1</v>
      </c>
      <c r="N435" s="27" t="str">
        <f t="shared" si="45"/>
        <v>Alone</v>
      </c>
      <c r="O435" s="27" t="str">
        <f t="shared" si="46"/>
        <v>Low Fare</v>
      </c>
      <c r="P435" s="27" t="str">
        <f t="shared" si="47"/>
        <v>Third Class</v>
      </c>
      <c r="Q435" s="27">
        <f t="shared" si="48"/>
        <v>1</v>
      </c>
    </row>
    <row r="436" spans="1:17" x14ac:dyDescent="0.3">
      <c r="A436" s="15">
        <v>435</v>
      </c>
      <c r="B436" s="15">
        <v>0</v>
      </c>
      <c r="C436" s="15">
        <v>1</v>
      </c>
      <c r="D436" s="8" t="s">
        <v>817</v>
      </c>
      <c r="E436" s="8" t="s">
        <v>11</v>
      </c>
      <c r="F436" s="24">
        <v>50</v>
      </c>
      <c r="G436" s="15">
        <v>1</v>
      </c>
      <c r="H436" s="15">
        <v>0</v>
      </c>
      <c r="I436" s="8" t="s">
        <v>818</v>
      </c>
      <c r="J436" s="20">
        <v>55.9</v>
      </c>
      <c r="K436" s="27" t="str">
        <f t="shared" si="42"/>
        <v>Died</v>
      </c>
      <c r="L436" s="27" t="str">
        <f t="shared" si="43"/>
        <v>Adult</v>
      </c>
      <c r="M436" s="28">
        <f t="shared" si="44"/>
        <v>2</v>
      </c>
      <c r="N436" s="27" t="str">
        <f t="shared" si="45"/>
        <v>Small Family</v>
      </c>
      <c r="O436" s="27" t="str">
        <f t="shared" si="46"/>
        <v>Medium Fare</v>
      </c>
      <c r="P436" s="27" t="str">
        <f t="shared" si="47"/>
        <v>First Class</v>
      </c>
      <c r="Q436" s="27">
        <f t="shared" si="48"/>
        <v>1</v>
      </c>
    </row>
    <row r="437" spans="1:17" x14ac:dyDescent="0.3">
      <c r="A437" s="16">
        <v>436</v>
      </c>
      <c r="B437" s="16">
        <v>1</v>
      </c>
      <c r="C437" s="16">
        <v>1</v>
      </c>
      <c r="D437" s="11" t="s">
        <v>819</v>
      </c>
      <c r="E437" s="11" t="s">
        <v>14</v>
      </c>
      <c r="F437" s="25">
        <v>14</v>
      </c>
      <c r="G437" s="16">
        <v>1</v>
      </c>
      <c r="H437" s="16">
        <v>2</v>
      </c>
      <c r="I437" s="11" t="s">
        <v>737</v>
      </c>
      <c r="J437" s="21">
        <v>120</v>
      </c>
      <c r="K437" s="27" t="str">
        <f t="shared" si="42"/>
        <v>Survived</v>
      </c>
      <c r="L437" s="27" t="str">
        <f t="shared" si="43"/>
        <v>Child</v>
      </c>
      <c r="M437" s="28">
        <f t="shared" si="44"/>
        <v>4</v>
      </c>
      <c r="N437" s="27" t="str">
        <f t="shared" si="45"/>
        <v>Small Family</v>
      </c>
      <c r="O437" s="27" t="str">
        <f t="shared" si="46"/>
        <v>High Fare</v>
      </c>
      <c r="P437" s="27" t="str">
        <f t="shared" si="47"/>
        <v>First Class</v>
      </c>
      <c r="Q437" s="27">
        <f t="shared" si="48"/>
        <v>2</v>
      </c>
    </row>
    <row r="438" spans="1:17" x14ac:dyDescent="0.3">
      <c r="A438" s="15">
        <v>437</v>
      </c>
      <c r="B438" s="15">
        <v>0</v>
      </c>
      <c r="C438" s="15">
        <v>3</v>
      </c>
      <c r="D438" s="8" t="s">
        <v>820</v>
      </c>
      <c r="E438" s="8" t="s">
        <v>14</v>
      </c>
      <c r="F438" s="24">
        <v>21</v>
      </c>
      <c r="G438" s="15">
        <v>2</v>
      </c>
      <c r="H438" s="15">
        <v>2</v>
      </c>
      <c r="I438" s="8" t="s">
        <v>183</v>
      </c>
      <c r="J438" s="20">
        <v>34.375</v>
      </c>
      <c r="K438" s="27" t="str">
        <f t="shared" si="42"/>
        <v>Died</v>
      </c>
      <c r="L438" s="27" t="str">
        <f t="shared" si="43"/>
        <v>Young Adult</v>
      </c>
      <c r="M438" s="28">
        <f t="shared" si="44"/>
        <v>5</v>
      </c>
      <c r="N438" s="27" t="str">
        <f t="shared" si="45"/>
        <v>Large Family</v>
      </c>
      <c r="O438" s="27" t="str">
        <f t="shared" si="46"/>
        <v>Medium Fare</v>
      </c>
      <c r="P438" s="27" t="str">
        <f t="shared" si="47"/>
        <v>Third Class</v>
      </c>
      <c r="Q438" s="27">
        <f t="shared" si="48"/>
        <v>2</v>
      </c>
    </row>
    <row r="439" spans="1:17" x14ac:dyDescent="0.3">
      <c r="A439" s="16">
        <v>438</v>
      </c>
      <c r="B439" s="16">
        <v>1</v>
      </c>
      <c r="C439" s="16">
        <v>2</v>
      </c>
      <c r="D439" s="11" t="s">
        <v>821</v>
      </c>
      <c r="E439" s="11" t="s">
        <v>14</v>
      </c>
      <c r="F439" s="25">
        <v>24</v>
      </c>
      <c r="G439" s="16">
        <v>2</v>
      </c>
      <c r="H439" s="16">
        <v>3</v>
      </c>
      <c r="I439" s="11" t="s">
        <v>768</v>
      </c>
      <c r="J439" s="21">
        <v>18.75</v>
      </c>
      <c r="K439" s="27" t="str">
        <f t="shared" si="42"/>
        <v>Survived</v>
      </c>
      <c r="L439" s="27" t="str">
        <f t="shared" si="43"/>
        <v>Young Adult</v>
      </c>
      <c r="M439" s="28">
        <f t="shared" si="44"/>
        <v>6</v>
      </c>
      <c r="N439" s="27" t="str">
        <f t="shared" si="45"/>
        <v>Large Family</v>
      </c>
      <c r="O439" s="27" t="str">
        <f t="shared" si="46"/>
        <v>Low Fare</v>
      </c>
      <c r="P439" s="27" t="str">
        <f t="shared" si="47"/>
        <v>Second Class</v>
      </c>
      <c r="Q439" s="27">
        <f t="shared" si="48"/>
        <v>2</v>
      </c>
    </row>
    <row r="440" spans="1:17" x14ac:dyDescent="0.3">
      <c r="A440" s="15">
        <v>439</v>
      </c>
      <c r="B440" s="15">
        <v>0</v>
      </c>
      <c r="C440" s="15">
        <v>1</v>
      </c>
      <c r="D440" s="8" t="s">
        <v>822</v>
      </c>
      <c r="E440" s="8" t="s">
        <v>11</v>
      </c>
      <c r="F440" s="24">
        <v>64</v>
      </c>
      <c r="G440" s="15">
        <v>1</v>
      </c>
      <c r="H440" s="15">
        <v>4</v>
      </c>
      <c r="I440" s="8" t="s">
        <v>66</v>
      </c>
      <c r="J440" s="20">
        <v>263</v>
      </c>
      <c r="K440" s="27" t="str">
        <f t="shared" si="42"/>
        <v>Died</v>
      </c>
      <c r="L440" s="27" t="str">
        <f t="shared" si="43"/>
        <v>Senior</v>
      </c>
      <c r="M440" s="28">
        <f t="shared" si="44"/>
        <v>6</v>
      </c>
      <c r="N440" s="27" t="str">
        <f t="shared" si="45"/>
        <v>Large Family</v>
      </c>
      <c r="O440" s="27" t="str">
        <f t="shared" si="46"/>
        <v>High Fare</v>
      </c>
      <c r="P440" s="27" t="str">
        <f t="shared" si="47"/>
        <v>First Class</v>
      </c>
      <c r="Q440" s="27">
        <f t="shared" si="48"/>
        <v>1</v>
      </c>
    </row>
    <row r="441" spans="1:17" x14ac:dyDescent="0.3">
      <c r="A441" s="16">
        <v>440</v>
      </c>
      <c r="B441" s="16">
        <v>0</v>
      </c>
      <c r="C441" s="16">
        <v>2</v>
      </c>
      <c r="D441" s="11" t="s">
        <v>823</v>
      </c>
      <c r="E441" s="11" t="s">
        <v>11</v>
      </c>
      <c r="F441" s="25">
        <v>31</v>
      </c>
      <c r="G441" s="16">
        <v>0</v>
      </c>
      <c r="H441" s="16">
        <v>0</v>
      </c>
      <c r="I441" s="11" t="s">
        <v>824</v>
      </c>
      <c r="J441" s="21">
        <v>10.5</v>
      </c>
      <c r="K441" s="27" t="str">
        <f t="shared" si="42"/>
        <v>Died</v>
      </c>
      <c r="L441" s="27" t="str">
        <f t="shared" si="43"/>
        <v>Young Adult</v>
      </c>
      <c r="M441" s="28">
        <f t="shared" si="44"/>
        <v>1</v>
      </c>
      <c r="N441" s="27" t="str">
        <f t="shared" si="45"/>
        <v>Alone</v>
      </c>
      <c r="O441" s="27" t="str">
        <f t="shared" si="46"/>
        <v>Low Fare</v>
      </c>
      <c r="P441" s="27" t="str">
        <f t="shared" si="47"/>
        <v>Second Class</v>
      </c>
      <c r="Q441" s="27">
        <f t="shared" si="48"/>
        <v>1</v>
      </c>
    </row>
    <row r="442" spans="1:17" x14ac:dyDescent="0.3">
      <c r="A442" s="15">
        <v>441</v>
      </c>
      <c r="B442" s="15">
        <v>1</v>
      </c>
      <c r="C442" s="15">
        <v>2</v>
      </c>
      <c r="D442" s="8" t="s">
        <v>825</v>
      </c>
      <c r="E442" s="8" t="s">
        <v>14</v>
      </c>
      <c r="F442" s="24">
        <v>45</v>
      </c>
      <c r="G442" s="15">
        <v>1</v>
      </c>
      <c r="H442" s="15">
        <v>1</v>
      </c>
      <c r="I442" s="8" t="s">
        <v>607</v>
      </c>
      <c r="J442" s="20">
        <v>26.25</v>
      </c>
      <c r="K442" s="27" t="str">
        <f t="shared" si="42"/>
        <v>Survived</v>
      </c>
      <c r="L442" s="27" t="str">
        <f t="shared" si="43"/>
        <v>Adult</v>
      </c>
      <c r="M442" s="28">
        <f t="shared" si="44"/>
        <v>3</v>
      </c>
      <c r="N442" s="27" t="str">
        <f t="shared" si="45"/>
        <v>Small Family</v>
      </c>
      <c r="O442" s="27" t="str">
        <f t="shared" si="46"/>
        <v>Medium Fare</v>
      </c>
      <c r="P442" s="27" t="str">
        <f t="shared" si="47"/>
        <v>Second Class</v>
      </c>
      <c r="Q442" s="27">
        <f t="shared" si="48"/>
        <v>2</v>
      </c>
    </row>
    <row r="443" spans="1:17" x14ac:dyDescent="0.3">
      <c r="A443" s="16">
        <v>442</v>
      </c>
      <c r="B443" s="16">
        <v>0</v>
      </c>
      <c r="C443" s="16">
        <v>3</v>
      </c>
      <c r="D443" s="11" t="s">
        <v>826</v>
      </c>
      <c r="E443" s="11" t="s">
        <v>11</v>
      </c>
      <c r="F443" s="25">
        <v>20</v>
      </c>
      <c r="G443" s="16">
        <v>0</v>
      </c>
      <c r="H443" s="16">
        <v>0</v>
      </c>
      <c r="I443" s="11" t="s">
        <v>827</v>
      </c>
      <c r="J443" s="21">
        <v>9.5</v>
      </c>
      <c r="K443" s="27" t="str">
        <f t="shared" si="42"/>
        <v>Died</v>
      </c>
      <c r="L443" s="27" t="str">
        <f t="shared" si="43"/>
        <v>Young Adult</v>
      </c>
      <c r="M443" s="28">
        <f t="shared" si="44"/>
        <v>1</v>
      </c>
      <c r="N443" s="27" t="str">
        <f t="shared" si="45"/>
        <v>Alone</v>
      </c>
      <c r="O443" s="27" t="str">
        <f t="shared" si="46"/>
        <v>Low Fare</v>
      </c>
      <c r="P443" s="27" t="str">
        <f t="shared" si="47"/>
        <v>Third Class</v>
      </c>
      <c r="Q443" s="27">
        <f t="shared" si="48"/>
        <v>1</v>
      </c>
    </row>
    <row r="444" spans="1:17" x14ac:dyDescent="0.3">
      <c r="A444" s="15">
        <v>443</v>
      </c>
      <c r="B444" s="15">
        <v>0</v>
      </c>
      <c r="C444" s="15">
        <v>3</v>
      </c>
      <c r="D444" s="8" t="s">
        <v>828</v>
      </c>
      <c r="E444" s="8" t="s">
        <v>11</v>
      </c>
      <c r="F444" s="24">
        <v>25</v>
      </c>
      <c r="G444" s="15">
        <v>1</v>
      </c>
      <c r="H444" s="15">
        <v>0</v>
      </c>
      <c r="I444" s="8" t="s">
        <v>829</v>
      </c>
      <c r="J444" s="20">
        <v>7.7750000000000004</v>
      </c>
      <c r="K444" s="27" t="str">
        <f t="shared" si="42"/>
        <v>Died</v>
      </c>
      <c r="L444" s="27" t="str">
        <f t="shared" si="43"/>
        <v>Young Adult</v>
      </c>
      <c r="M444" s="28">
        <f t="shared" si="44"/>
        <v>2</v>
      </c>
      <c r="N444" s="27" t="str">
        <f t="shared" si="45"/>
        <v>Small Family</v>
      </c>
      <c r="O444" s="27" t="str">
        <f t="shared" si="46"/>
        <v>Low Fare</v>
      </c>
      <c r="P444" s="27" t="str">
        <f t="shared" si="47"/>
        <v>Third Class</v>
      </c>
      <c r="Q444" s="27">
        <f t="shared" si="48"/>
        <v>1</v>
      </c>
    </row>
    <row r="445" spans="1:17" x14ac:dyDescent="0.3">
      <c r="A445" s="16">
        <v>444</v>
      </c>
      <c r="B445" s="16">
        <v>1</v>
      </c>
      <c r="C445" s="16">
        <v>2</v>
      </c>
      <c r="D445" s="11" t="s">
        <v>830</v>
      </c>
      <c r="E445" s="11" t="s">
        <v>14</v>
      </c>
      <c r="F445" s="25">
        <v>28</v>
      </c>
      <c r="G445" s="16">
        <v>0</v>
      </c>
      <c r="H445" s="16">
        <v>0</v>
      </c>
      <c r="I445" s="11" t="s">
        <v>831</v>
      </c>
      <c r="J445" s="21">
        <v>13</v>
      </c>
      <c r="K445" s="27" t="str">
        <f t="shared" si="42"/>
        <v>Survived</v>
      </c>
      <c r="L445" s="27" t="str">
        <f t="shared" si="43"/>
        <v>Young Adult</v>
      </c>
      <c r="M445" s="28">
        <f t="shared" si="44"/>
        <v>1</v>
      </c>
      <c r="N445" s="27" t="str">
        <f t="shared" si="45"/>
        <v>Alone</v>
      </c>
      <c r="O445" s="27" t="str">
        <f t="shared" si="46"/>
        <v>Low Fare</v>
      </c>
      <c r="P445" s="27" t="str">
        <f t="shared" si="47"/>
        <v>Second Class</v>
      </c>
      <c r="Q445" s="27">
        <f t="shared" si="48"/>
        <v>2</v>
      </c>
    </row>
    <row r="446" spans="1:17" x14ac:dyDescent="0.3">
      <c r="A446" s="15">
        <v>445</v>
      </c>
      <c r="B446" s="15">
        <v>1</v>
      </c>
      <c r="C446" s="15">
        <v>3</v>
      </c>
      <c r="D446" s="8" t="s">
        <v>832</v>
      </c>
      <c r="E446" s="8" t="s">
        <v>11</v>
      </c>
      <c r="F446" s="24">
        <v>26</v>
      </c>
      <c r="G446" s="15">
        <v>0</v>
      </c>
      <c r="H446" s="15">
        <v>0</v>
      </c>
      <c r="I446" s="8" t="s">
        <v>833</v>
      </c>
      <c r="J446" s="20">
        <v>8.1125000000000007</v>
      </c>
      <c r="K446" s="27" t="str">
        <f t="shared" si="42"/>
        <v>Survived</v>
      </c>
      <c r="L446" s="27" t="str">
        <f t="shared" si="43"/>
        <v>Young Adult</v>
      </c>
      <c r="M446" s="28">
        <f t="shared" si="44"/>
        <v>1</v>
      </c>
      <c r="N446" s="27" t="str">
        <f t="shared" si="45"/>
        <v>Alone</v>
      </c>
      <c r="O446" s="27" t="str">
        <f t="shared" si="46"/>
        <v>Low Fare</v>
      </c>
      <c r="P446" s="27" t="str">
        <f t="shared" si="47"/>
        <v>Third Class</v>
      </c>
      <c r="Q446" s="27">
        <f t="shared" si="48"/>
        <v>1</v>
      </c>
    </row>
    <row r="447" spans="1:17" x14ac:dyDescent="0.3">
      <c r="A447" s="16">
        <v>446</v>
      </c>
      <c r="B447" s="16">
        <v>1</v>
      </c>
      <c r="C447" s="16">
        <v>1</v>
      </c>
      <c r="D447" s="11" t="s">
        <v>834</v>
      </c>
      <c r="E447" s="11" t="s">
        <v>11</v>
      </c>
      <c r="F447" s="25">
        <v>4</v>
      </c>
      <c r="G447" s="16">
        <v>0</v>
      </c>
      <c r="H447" s="16">
        <v>2</v>
      </c>
      <c r="I447" s="11" t="s">
        <v>835</v>
      </c>
      <c r="J447" s="21">
        <v>81.8583</v>
      </c>
      <c r="K447" s="27" t="str">
        <f t="shared" si="42"/>
        <v>Survived</v>
      </c>
      <c r="L447" s="27" t="str">
        <f t="shared" si="43"/>
        <v>Child</v>
      </c>
      <c r="M447" s="28">
        <f t="shared" si="44"/>
        <v>3</v>
      </c>
      <c r="N447" s="27" t="str">
        <f t="shared" si="45"/>
        <v>Small Family</v>
      </c>
      <c r="O447" s="27" t="str">
        <f t="shared" si="46"/>
        <v>Medium Fare</v>
      </c>
      <c r="P447" s="27" t="str">
        <f t="shared" si="47"/>
        <v>First Class</v>
      </c>
      <c r="Q447" s="27">
        <f t="shared" si="48"/>
        <v>1</v>
      </c>
    </row>
    <row r="448" spans="1:17" x14ac:dyDescent="0.3">
      <c r="A448" s="15">
        <v>447</v>
      </c>
      <c r="B448" s="15">
        <v>1</v>
      </c>
      <c r="C448" s="15">
        <v>2</v>
      </c>
      <c r="D448" s="8" t="s">
        <v>836</v>
      </c>
      <c r="E448" s="8" t="s">
        <v>14</v>
      </c>
      <c r="F448" s="24">
        <v>13</v>
      </c>
      <c r="G448" s="15">
        <v>0</v>
      </c>
      <c r="H448" s="15">
        <v>1</v>
      </c>
      <c r="I448" s="8" t="s">
        <v>527</v>
      </c>
      <c r="J448" s="20">
        <v>19.5</v>
      </c>
      <c r="K448" s="27" t="str">
        <f t="shared" si="42"/>
        <v>Survived</v>
      </c>
      <c r="L448" s="27" t="str">
        <f t="shared" si="43"/>
        <v>Child</v>
      </c>
      <c r="M448" s="28">
        <f t="shared" si="44"/>
        <v>2</v>
      </c>
      <c r="N448" s="27" t="str">
        <f t="shared" si="45"/>
        <v>Small Family</v>
      </c>
      <c r="O448" s="27" t="str">
        <f t="shared" si="46"/>
        <v>Low Fare</v>
      </c>
      <c r="P448" s="27" t="str">
        <f t="shared" si="47"/>
        <v>Second Class</v>
      </c>
      <c r="Q448" s="27">
        <f t="shared" si="48"/>
        <v>2</v>
      </c>
    </row>
    <row r="449" spans="1:17" x14ac:dyDescent="0.3">
      <c r="A449" s="16">
        <v>448</v>
      </c>
      <c r="B449" s="16">
        <v>1</v>
      </c>
      <c r="C449" s="16">
        <v>1</v>
      </c>
      <c r="D449" s="11" t="s">
        <v>837</v>
      </c>
      <c r="E449" s="11" t="s">
        <v>11</v>
      </c>
      <c r="F449" s="25">
        <v>34</v>
      </c>
      <c r="G449" s="16">
        <v>0</v>
      </c>
      <c r="H449" s="16">
        <v>0</v>
      </c>
      <c r="I449" s="11" t="s">
        <v>838</v>
      </c>
      <c r="J449" s="21">
        <v>26.55</v>
      </c>
      <c r="K449" s="27" t="str">
        <f t="shared" si="42"/>
        <v>Survived</v>
      </c>
      <c r="L449" s="27" t="str">
        <f t="shared" si="43"/>
        <v>Young Adult</v>
      </c>
      <c r="M449" s="28">
        <f t="shared" si="44"/>
        <v>1</v>
      </c>
      <c r="N449" s="27" t="str">
        <f t="shared" si="45"/>
        <v>Alone</v>
      </c>
      <c r="O449" s="27" t="str">
        <f t="shared" si="46"/>
        <v>Medium Fare</v>
      </c>
      <c r="P449" s="27" t="str">
        <f t="shared" si="47"/>
        <v>First Class</v>
      </c>
      <c r="Q449" s="27">
        <f t="shared" si="48"/>
        <v>1</v>
      </c>
    </row>
    <row r="450" spans="1:17" x14ac:dyDescent="0.3">
      <c r="A450" s="15">
        <v>449</v>
      </c>
      <c r="B450" s="15">
        <v>1</v>
      </c>
      <c r="C450" s="15">
        <v>3</v>
      </c>
      <c r="D450" s="8" t="s">
        <v>839</v>
      </c>
      <c r="E450" s="8" t="s">
        <v>14</v>
      </c>
      <c r="F450" s="24">
        <v>5</v>
      </c>
      <c r="G450" s="15">
        <v>2</v>
      </c>
      <c r="H450" s="15">
        <v>1</v>
      </c>
      <c r="I450" s="8" t="s">
        <v>840</v>
      </c>
      <c r="J450" s="20">
        <v>19.258299999999998</v>
      </c>
      <c r="K450" s="27" t="str">
        <f t="shared" ref="K450:K513" si="49">IF(B450=1, "Survived", "Died")</f>
        <v>Survived</v>
      </c>
      <c r="L450" s="27" t="str">
        <f t="shared" ref="L450:L513" si="50">IF(F450&lt;18, "Child", IF(F450&lt;35, "Young Adult", IF(F450&lt;60, "Adult", "Senior")))</f>
        <v>Child</v>
      </c>
      <c r="M450" s="28">
        <f t="shared" ref="M450:M513" si="51">G450+H450+1</f>
        <v>4</v>
      </c>
      <c r="N450" s="27" t="str">
        <f t="shared" ref="N450:N513" si="52">IF(M450=1,"Alone",IF(M450&lt;=4,"Small Family","Large Family"))</f>
        <v>Small Family</v>
      </c>
      <c r="O450" s="27" t="str">
        <f t="shared" ref="O450:O513" si="53">IF(J450&lt;25, "Low Fare", IF(J450&lt;=100, "Medium Fare", "High Fare"))</f>
        <v>Low Fare</v>
      </c>
      <c r="P450" s="27" t="str">
        <f t="shared" ref="P450:P513" si="54">IF(C450=1, "First Class", IF(C450=2, "Second Class", "Third Class"))</f>
        <v>Third Class</v>
      </c>
      <c r="Q450" s="27">
        <f t="shared" ref="Q450:Q513" si="55">IF(E450="male", 1, 2)</f>
        <v>2</v>
      </c>
    </row>
    <row r="451" spans="1:17" x14ac:dyDescent="0.3">
      <c r="A451" s="16">
        <v>450</v>
      </c>
      <c r="B451" s="16">
        <v>1</v>
      </c>
      <c r="C451" s="16">
        <v>1</v>
      </c>
      <c r="D451" s="11" t="s">
        <v>841</v>
      </c>
      <c r="E451" s="11" t="s">
        <v>11</v>
      </c>
      <c r="F451" s="25">
        <v>52</v>
      </c>
      <c r="G451" s="16">
        <v>0</v>
      </c>
      <c r="H451" s="16">
        <v>0</v>
      </c>
      <c r="I451" s="11" t="s">
        <v>842</v>
      </c>
      <c r="J451" s="21">
        <v>30.5</v>
      </c>
      <c r="K451" s="27" t="str">
        <f t="shared" si="49"/>
        <v>Survived</v>
      </c>
      <c r="L451" s="27" t="str">
        <f t="shared" si="50"/>
        <v>Adult</v>
      </c>
      <c r="M451" s="28">
        <f t="shared" si="51"/>
        <v>1</v>
      </c>
      <c r="N451" s="27" t="str">
        <f t="shared" si="52"/>
        <v>Alone</v>
      </c>
      <c r="O451" s="27" t="str">
        <f t="shared" si="53"/>
        <v>Medium Fare</v>
      </c>
      <c r="P451" s="27" t="str">
        <f t="shared" si="54"/>
        <v>First Class</v>
      </c>
      <c r="Q451" s="27">
        <f t="shared" si="55"/>
        <v>1</v>
      </c>
    </row>
    <row r="452" spans="1:17" x14ac:dyDescent="0.3">
      <c r="A452" s="15">
        <v>451</v>
      </c>
      <c r="B452" s="15">
        <v>0</v>
      </c>
      <c r="C452" s="15">
        <v>2</v>
      </c>
      <c r="D452" s="8" t="s">
        <v>843</v>
      </c>
      <c r="E452" s="8" t="s">
        <v>11</v>
      </c>
      <c r="F452" s="24">
        <v>36</v>
      </c>
      <c r="G452" s="15">
        <v>1</v>
      </c>
      <c r="H452" s="15">
        <v>2</v>
      </c>
      <c r="I452" s="8" t="s">
        <v>128</v>
      </c>
      <c r="J452" s="20">
        <v>27.75</v>
      </c>
      <c r="K452" s="27" t="str">
        <f t="shared" si="49"/>
        <v>Died</v>
      </c>
      <c r="L452" s="27" t="str">
        <f t="shared" si="50"/>
        <v>Adult</v>
      </c>
      <c r="M452" s="28">
        <f t="shared" si="51"/>
        <v>4</v>
      </c>
      <c r="N452" s="27" t="str">
        <f t="shared" si="52"/>
        <v>Small Family</v>
      </c>
      <c r="O452" s="27" t="str">
        <f t="shared" si="53"/>
        <v>Medium Fare</v>
      </c>
      <c r="P452" s="27" t="str">
        <f t="shared" si="54"/>
        <v>Second Class</v>
      </c>
      <c r="Q452" s="27">
        <f t="shared" si="55"/>
        <v>1</v>
      </c>
    </row>
    <row r="453" spans="1:17" x14ac:dyDescent="0.3">
      <c r="A453" s="16">
        <v>452</v>
      </c>
      <c r="B453" s="16">
        <v>0</v>
      </c>
      <c r="C453" s="16">
        <v>3</v>
      </c>
      <c r="D453" s="11" t="s">
        <v>844</v>
      </c>
      <c r="E453" s="11" t="s">
        <v>11</v>
      </c>
      <c r="F453" s="25">
        <v>26</v>
      </c>
      <c r="G453" s="16">
        <v>1</v>
      </c>
      <c r="H453" s="16">
        <v>0</v>
      </c>
      <c r="I453" s="11" t="s">
        <v>845</v>
      </c>
      <c r="J453" s="21">
        <v>19.966699999999999</v>
      </c>
      <c r="K453" s="27" t="str">
        <f t="shared" si="49"/>
        <v>Died</v>
      </c>
      <c r="L453" s="27" t="str">
        <f t="shared" si="50"/>
        <v>Young Adult</v>
      </c>
      <c r="M453" s="28">
        <f t="shared" si="51"/>
        <v>2</v>
      </c>
      <c r="N453" s="27" t="str">
        <f t="shared" si="52"/>
        <v>Small Family</v>
      </c>
      <c r="O453" s="27" t="str">
        <f t="shared" si="53"/>
        <v>Low Fare</v>
      </c>
      <c r="P453" s="27" t="str">
        <f t="shared" si="54"/>
        <v>Third Class</v>
      </c>
      <c r="Q453" s="27">
        <f t="shared" si="55"/>
        <v>1</v>
      </c>
    </row>
    <row r="454" spans="1:17" x14ac:dyDescent="0.3">
      <c r="A454" s="15">
        <v>453</v>
      </c>
      <c r="B454" s="15">
        <v>0</v>
      </c>
      <c r="C454" s="15">
        <v>1</v>
      </c>
      <c r="D454" s="8" t="s">
        <v>846</v>
      </c>
      <c r="E454" s="8" t="s">
        <v>11</v>
      </c>
      <c r="F454" s="24">
        <v>30</v>
      </c>
      <c r="G454" s="15">
        <v>0</v>
      </c>
      <c r="H454" s="15">
        <v>0</v>
      </c>
      <c r="I454" s="8" t="s">
        <v>847</v>
      </c>
      <c r="J454" s="20">
        <v>27.75</v>
      </c>
      <c r="K454" s="27" t="str">
        <f t="shared" si="49"/>
        <v>Died</v>
      </c>
      <c r="L454" s="27" t="str">
        <f t="shared" si="50"/>
        <v>Young Adult</v>
      </c>
      <c r="M454" s="28">
        <f t="shared" si="51"/>
        <v>1</v>
      </c>
      <c r="N454" s="27" t="str">
        <f t="shared" si="52"/>
        <v>Alone</v>
      </c>
      <c r="O454" s="27" t="str">
        <f t="shared" si="53"/>
        <v>Medium Fare</v>
      </c>
      <c r="P454" s="27" t="str">
        <f t="shared" si="54"/>
        <v>First Class</v>
      </c>
      <c r="Q454" s="27">
        <f t="shared" si="55"/>
        <v>1</v>
      </c>
    </row>
    <row r="455" spans="1:17" x14ac:dyDescent="0.3">
      <c r="A455" s="16">
        <v>454</v>
      </c>
      <c r="B455" s="16">
        <v>1</v>
      </c>
      <c r="C455" s="16">
        <v>1</v>
      </c>
      <c r="D455" s="11" t="s">
        <v>848</v>
      </c>
      <c r="E455" s="11" t="s">
        <v>11</v>
      </c>
      <c r="F455" s="25">
        <v>49</v>
      </c>
      <c r="G455" s="16">
        <v>1</v>
      </c>
      <c r="H455" s="16">
        <v>0</v>
      </c>
      <c r="I455" s="11" t="s">
        <v>849</v>
      </c>
      <c r="J455" s="21">
        <v>89.104200000000006</v>
      </c>
      <c r="K455" s="27" t="str">
        <f t="shared" si="49"/>
        <v>Survived</v>
      </c>
      <c r="L455" s="27" t="str">
        <f t="shared" si="50"/>
        <v>Adult</v>
      </c>
      <c r="M455" s="28">
        <f t="shared" si="51"/>
        <v>2</v>
      </c>
      <c r="N455" s="27" t="str">
        <f t="shared" si="52"/>
        <v>Small Family</v>
      </c>
      <c r="O455" s="27" t="str">
        <f t="shared" si="53"/>
        <v>Medium Fare</v>
      </c>
      <c r="P455" s="27" t="str">
        <f t="shared" si="54"/>
        <v>First Class</v>
      </c>
      <c r="Q455" s="27">
        <f t="shared" si="55"/>
        <v>1</v>
      </c>
    </row>
    <row r="456" spans="1:17" x14ac:dyDescent="0.3">
      <c r="A456" s="15">
        <v>455</v>
      </c>
      <c r="B456" s="15">
        <v>0</v>
      </c>
      <c r="C456" s="15">
        <v>3</v>
      </c>
      <c r="D456" s="8" t="s">
        <v>850</v>
      </c>
      <c r="E456" s="8" t="s">
        <v>11</v>
      </c>
      <c r="F456" s="24">
        <v>26</v>
      </c>
      <c r="G456" s="15">
        <v>0</v>
      </c>
      <c r="H456" s="15">
        <v>0</v>
      </c>
      <c r="I456" s="8" t="s">
        <v>851</v>
      </c>
      <c r="J456" s="20">
        <v>8.0500000000000007</v>
      </c>
      <c r="K456" s="27" t="str">
        <f t="shared" si="49"/>
        <v>Died</v>
      </c>
      <c r="L456" s="27" t="str">
        <f t="shared" si="50"/>
        <v>Young Adult</v>
      </c>
      <c r="M456" s="28">
        <f t="shared" si="51"/>
        <v>1</v>
      </c>
      <c r="N456" s="27" t="str">
        <f t="shared" si="52"/>
        <v>Alone</v>
      </c>
      <c r="O456" s="27" t="str">
        <f t="shared" si="53"/>
        <v>Low Fare</v>
      </c>
      <c r="P456" s="27" t="str">
        <f t="shared" si="54"/>
        <v>Third Class</v>
      </c>
      <c r="Q456" s="27">
        <f t="shared" si="55"/>
        <v>1</v>
      </c>
    </row>
    <row r="457" spans="1:17" x14ac:dyDescent="0.3">
      <c r="A457" s="16">
        <v>456</v>
      </c>
      <c r="B457" s="16">
        <v>1</v>
      </c>
      <c r="C457" s="16">
        <v>3</v>
      </c>
      <c r="D457" s="11" t="s">
        <v>852</v>
      </c>
      <c r="E457" s="11" t="s">
        <v>11</v>
      </c>
      <c r="F457" s="25">
        <v>29</v>
      </c>
      <c r="G457" s="16">
        <v>0</v>
      </c>
      <c r="H457" s="16">
        <v>0</v>
      </c>
      <c r="I457" s="11" t="s">
        <v>853</v>
      </c>
      <c r="J457" s="21">
        <v>7.8958000000000004</v>
      </c>
      <c r="K457" s="27" t="str">
        <f t="shared" si="49"/>
        <v>Survived</v>
      </c>
      <c r="L457" s="27" t="str">
        <f t="shared" si="50"/>
        <v>Young Adult</v>
      </c>
      <c r="M457" s="28">
        <f t="shared" si="51"/>
        <v>1</v>
      </c>
      <c r="N457" s="27" t="str">
        <f t="shared" si="52"/>
        <v>Alone</v>
      </c>
      <c r="O457" s="27" t="str">
        <f t="shared" si="53"/>
        <v>Low Fare</v>
      </c>
      <c r="P457" s="27" t="str">
        <f t="shared" si="54"/>
        <v>Third Class</v>
      </c>
      <c r="Q457" s="27">
        <f t="shared" si="55"/>
        <v>1</v>
      </c>
    </row>
    <row r="458" spans="1:17" x14ac:dyDescent="0.3">
      <c r="A458" s="15">
        <v>457</v>
      </c>
      <c r="B458" s="15">
        <v>0</v>
      </c>
      <c r="C458" s="15">
        <v>1</v>
      </c>
      <c r="D458" s="8" t="s">
        <v>854</v>
      </c>
      <c r="E458" s="8" t="s">
        <v>11</v>
      </c>
      <c r="F458" s="24">
        <v>65</v>
      </c>
      <c r="G458" s="15">
        <v>0</v>
      </c>
      <c r="H458" s="15">
        <v>0</v>
      </c>
      <c r="I458" s="8" t="s">
        <v>855</v>
      </c>
      <c r="J458" s="20">
        <v>26.55</v>
      </c>
      <c r="K458" s="27" t="str">
        <f t="shared" si="49"/>
        <v>Died</v>
      </c>
      <c r="L458" s="27" t="str">
        <f t="shared" si="50"/>
        <v>Senior</v>
      </c>
      <c r="M458" s="28">
        <f t="shared" si="51"/>
        <v>1</v>
      </c>
      <c r="N458" s="27" t="str">
        <f t="shared" si="52"/>
        <v>Alone</v>
      </c>
      <c r="O458" s="27" t="str">
        <f t="shared" si="53"/>
        <v>Medium Fare</v>
      </c>
      <c r="P458" s="27" t="str">
        <f t="shared" si="54"/>
        <v>First Class</v>
      </c>
      <c r="Q458" s="27">
        <f t="shared" si="55"/>
        <v>1</v>
      </c>
    </row>
    <row r="459" spans="1:17" x14ac:dyDescent="0.3">
      <c r="A459" s="16">
        <v>458</v>
      </c>
      <c r="B459" s="16">
        <v>1</v>
      </c>
      <c r="C459" s="16">
        <v>1</v>
      </c>
      <c r="D459" s="11" t="s">
        <v>856</v>
      </c>
      <c r="E459" s="11" t="s">
        <v>14</v>
      </c>
      <c r="F459" s="25">
        <v>26</v>
      </c>
      <c r="G459" s="16">
        <v>1</v>
      </c>
      <c r="H459" s="16">
        <v>0</v>
      </c>
      <c r="I459" s="11" t="s">
        <v>857</v>
      </c>
      <c r="J459" s="21">
        <v>51.862499999999997</v>
      </c>
      <c r="K459" s="27" t="str">
        <f t="shared" si="49"/>
        <v>Survived</v>
      </c>
      <c r="L459" s="27" t="str">
        <f t="shared" si="50"/>
        <v>Young Adult</v>
      </c>
      <c r="M459" s="28">
        <f t="shared" si="51"/>
        <v>2</v>
      </c>
      <c r="N459" s="27" t="str">
        <f t="shared" si="52"/>
        <v>Small Family</v>
      </c>
      <c r="O459" s="27" t="str">
        <f t="shared" si="53"/>
        <v>Medium Fare</v>
      </c>
      <c r="P459" s="27" t="str">
        <f t="shared" si="54"/>
        <v>First Class</v>
      </c>
      <c r="Q459" s="27">
        <f t="shared" si="55"/>
        <v>2</v>
      </c>
    </row>
    <row r="460" spans="1:17" x14ac:dyDescent="0.3">
      <c r="A460" s="15">
        <v>459</v>
      </c>
      <c r="B460" s="15">
        <v>1</v>
      </c>
      <c r="C460" s="15">
        <v>2</v>
      </c>
      <c r="D460" s="8" t="s">
        <v>858</v>
      </c>
      <c r="E460" s="8" t="s">
        <v>14</v>
      </c>
      <c r="F460" s="24">
        <v>50</v>
      </c>
      <c r="G460" s="15">
        <v>0</v>
      </c>
      <c r="H460" s="15">
        <v>0</v>
      </c>
      <c r="I460" s="8" t="s">
        <v>859</v>
      </c>
      <c r="J460" s="20">
        <v>10.5</v>
      </c>
      <c r="K460" s="27" t="str">
        <f t="shared" si="49"/>
        <v>Survived</v>
      </c>
      <c r="L460" s="27" t="str">
        <f t="shared" si="50"/>
        <v>Adult</v>
      </c>
      <c r="M460" s="28">
        <f t="shared" si="51"/>
        <v>1</v>
      </c>
      <c r="N460" s="27" t="str">
        <f t="shared" si="52"/>
        <v>Alone</v>
      </c>
      <c r="O460" s="27" t="str">
        <f t="shared" si="53"/>
        <v>Low Fare</v>
      </c>
      <c r="P460" s="27" t="str">
        <f t="shared" si="54"/>
        <v>Second Class</v>
      </c>
      <c r="Q460" s="27">
        <f t="shared" si="55"/>
        <v>2</v>
      </c>
    </row>
    <row r="461" spans="1:17" x14ac:dyDescent="0.3">
      <c r="A461" s="16">
        <v>460</v>
      </c>
      <c r="B461" s="16">
        <v>0</v>
      </c>
      <c r="C461" s="16">
        <v>3</v>
      </c>
      <c r="D461" s="11" t="s">
        <v>860</v>
      </c>
      <c r="E461" s="11" t="s">
        <v>11</v>
      </c>
      <c r="F461" s="25">
        <v>26</v>
      </c>
      <c r="G461" s="16">
        <v>0</v>
      </c>
      <c r="H461" s="16">
        <v>0</v>
      </c>
      <c r="I461" s="11" t="s">
        <v>861</v>
      </c>
      <c r="J461" s="21">
        <v>7.75</v>
      </c>
      <c r="K461" s="27" t="str">
        <f t="shared" si="49"/>
        <v>Died</v>
      </c>
      <c r="L461" s="27" t="str">
        <f t="shared" si="50"/>
        <v>Young Adult</v>
      </c>
      <c r="M461" s="28">
        <f t="shared" si="51"/>
        <v>1</v>
      </c>
      <c r="N461" s="27" t="str">
        <f t="shared" si="52"/>
        <v>Alone</v>
      </c>
      <c r="O461" s="27" t="str">
        <f t="shared" si="53"/>
        <v>Low Fare</v>
      </c>
      <c r="P461" s="27" t="str">
        <f t="shared" si="54"/>
        <v>Third Class</v>
      </c>
      <c r="Q461" s="27">
        <f t="shared" si="55"/>
        <v>1</v>
      </c>
    </row>
    <row r="462" spans="1:17" x14ac:dyDescent="0.3">
      <c r="A462" s="15">
        <v>461</v>
      </c>
      <c r="B462" s="15">
        <v>1</v>
      </c>
      <c r="C462" s="15">
        <v>1</v>
      </c>
      <c r="D462" s="8" t="s">
        <v>862</v>
      </c>
      <c r="E462" s="8" t="s">
        <v>11</v>
      </c>
      <c r="F462" s="24">
        <v>48</v>
      </c>
      <c r="G462" s="15">
        <v>0</v>
      </c>
      <c r="H462" s="15">
        <v>0</v>
      </c>
      <c r="I462" s="8" t="s">
        <v>863</v>
      </c>
      <c r="J462" s="20">
        <v>26.55</v>
      </c>
      <c r="K462" s="27" t="str">
        <f t="shared" si="49"/>
        <v>Survived</v>
      </c>
      <c r="L462" s="27" t="str">
        <f t="shared" si="50"/>
        <v>Adult</v>
      </c>
      <c r="M462" s="28">
        <f t="shared" si="51"/>
        <v>1</v>
      </c>
      <c r="N462" s="27" t="str">
        <f t="shared" si="52"/>
        <v>Alone</v>
      </c>
      <c r="O462" s="27" t="str">
        <f t="shared" si="53"/>
        <v>Medium Fare</v>
      </c>
      <c r="P462" s="27" t="str">
        <f t="shared" si="54"/>
        <v>First Class</v>
      </c>
      <c r="Q462" s="27">
        <f t="shared" si="55"/>
        <v>1</v>
      </c>
    </row>
    <row r="463" spans="1:17" x14ac:dyDescent="0.3">
      <c r="A463" s="16">
        <v>462</v>
      </c>
      <c r="B463" s="16">
        <v>0</v>
      </c>
      <c r="C463" s="16">
        <v>3</v>
      </c>
      <c r="D463" s="11" t="s">
        <v>864</v>
      </c>
      <c r="E463" s="11" t="s">
        <v>11</v>
      </c>
      <c r="F463" s="25">
        <v>34</v>
      </c>
      <c r="G463" s="16">
        <v>0</v>
      </c>
      <c r="H463" s="16">
        <v>0</v>
      </c>
      <c r="I463" s="11" t="s">
        <v>865</v>
      </c>
      <c r="J463" s="21">
        <v>8.0500000000000007</v>
      </c>
      <c r="K463" s="27" t="str">
        <f t="shared" si="49"/>
        <v>Died</v>
      </c>
      <c r="L463" s="27" t="str">
        <f t="shared" si="50"/>
        <v>Young Adult</v>
      </c>
      <c r="M463" s="28">
        <f t="shared" si="51"/>
        <v>1</v>
      </c>
      <c r="N463" s="27" t="str">
        <f t="shared" si="52"/>
        <v>Alone</v>
      </c>
      <c r="O463" s="27" t="str">
        <f t="shared" si="53"/>
        <v>Low Fare</v>
      </c>
      <c r="P463" s="27" t="str">
        <f t="shared" si="54"/>
        <v>Third Class</v>
      </c>
      <c r="Q463" s="27">
        <f t="shared" si="55"/>
        <v>1</v>
      </c>
    </row>
    <row r="464" spans="1:17" x14ac:dyDescent="0.3">
      <c r="A464" s="15">
        <v>463</v>
      </c>
      <c r="B464" s="15">
        <v>0</v>
      </c>
      <c r="C464" s="15">
        <v>1</v>
      </c>
      <c r="D464" s="8" t="s">
        <v>866</v>
      </c>
      <c r="E464" s="8" t="s">
        <v>11</v>
      </c>
      <c r="F464" s="24">
        <v>47</v>
      </c>
      <c r="G464" s="15">
        <v>0</v>
      </c>
      <c r="H464" s="15">
        <v>0</v>
      </c>
      <c r="I464" s="8" t="s">
        <v>867</v>
      </c>
      <c r="J464" s="20">
        <v>38.5</v>
      </c>
      <c r="K464" s="27" t="str">
        <f t="shared" si="49"/>
        <v>Died</v>
      </c>
      <c r="L464" s="27" t="str">
        <f t="shared" si="50"/>
        <v>Adult</v>
      </c>
      <c r="M464" s="28">
        <f t="shared" si="51"/>
        <v>1</v>
      </c>
      <c r="N464" s="27" t="str">
        <f t="shared" si="52"/>
        <v>Alone</v>
      </c>
      <c r="O464" s="27" t="str">
        <f t="shared" si="53"/>
        <v>Medium Fare</v>
      </c>
      <c r="P464" s="27" t="str">
        <f t="shared" si="54"/>
        <v>First Class</v>
      </c>
      <c r="Q464" s="27">
        <f t="shared" si="55"/>
        <v>1</v>
      </c>
    </row>
    <row r="465" spans="1:17" x14ac:dyDescent="0.3">
      <c r="A465" s="16">
        <v>464</v>
      </c>
      <c r="B465" s="16">
        <v>0</v>
      </c>
      <c r="C465" s="16">
        <v>2</v>
      </c>
      <c r="D465" s="11" t="s">
        <v>868</v>
      </c>
      <c r="E465" s="11" t="s">
        <v>11</v>
      </c>
      <c r="F465" s="25">
        <v>48</v>
      </c>
      <c r="G465" s="16">
        <v>0</v>
      </c>
      <c r="H465" s="16">
        <v>0</v>
      </c>
      <c r="I465" s="11" t="s">
        <v>869</v>
      </c>
      <c r="J465" s="21">
        <v>13</v>
      </c>
      <c r="K465" s="27" t="str">
        <f t="shared" si="49"/>
        <v>Died</v>
      </c>
      <c r="L465" s="27" t="str">
        <f t="shared" si="50"/>
        <v>Adult</v>
      </c>
      <c r="M465" s="28">
        <f t="shared" si="51"/>
        <v>1</v>
      </c>
      <c r="N465" s="27" t="str">
        <f t="shared" si="52"/>
        <v>Alone</v>
      </c>
      <c r="O465" s="27" t="str">
        <f t="shared" si="53"/>
        <v>Low Fare</v>
      </c>
      <c r="P465" s="27" t="str">
        <f t="shared" si="54"/>
        <v>Second Class</v>
      </c>
      <c r="Q465" s="27">
        <f t="shared" si="55"/>
        <v>1</v>
      </c>
    </row>
    <row r="466" spans="1:17" x14ac:dyDescent="0.3">
      <c r="A466" s="15">
        <v>465</v>
      </c>
      <c r="B466" s="15">
        <v>0</v>
      </c>
      <c r="C466" s="15">
        <v>3</v>
      </c>
      <c r="D466" s="8" t="s">
        <v>870</v>
      </c>
      <c r="E466" s="8" t="s">
        <v>11</v>
      </c>
      <c r="F466" s="24">
        <v>26</v>
      </c>
      <c r="G466" s="15">
        <v>0</v>
      </c>
      <c r="H466" s="15">
        <v>0</v>
      </c>
      <c r="I466" s="8" t="s">
        <v>871</v>
      </c>
      <c r="J466" s="20">
        <v>8.0500000000000007</v>
      </c>
      <c r="K466" s="27" t="str">
        <f t="shared" si="49"/>
        <v>Died</v>
      </c>
      <c r="L466" s="27" t="str">
        <f t="shared" si="50"/>
        <v>Young Adult</v>
      </c>
      <c r="M466" s="28">
        <f t="shared" si="51"/>
        <v>1</v>
      </c>
      <c r="N466" s="27" t="str">
        <f t="shared" si="52"/>
        <v>Alone</v>
      </c>
      <c r="O466" s="27" t="str">
        <f t="shared" si="53"/>
        <v>Low Fare</v>
      </c>
      <c r="P466" s="27" t="str">
        <f t="shared" si="54"/>
        <v>Third Class</v>
      </c>
      <c r="Q466" s="27">
        <f t="shared" si="55"/>
        <v>1</v>
      </c>
    </row>
    <row r="467" spans="1:17" x14ac:dyDescent="0.3">
      <c r="A467" s="16">
        <v>466</v>
      </c>
      <c r="B467" s="16">
        <v>0</v>
      </c>
      <c r="C467" s="16">
        <v>3</v>
      </c>
      <c r="D467" s="11" t="s">
        <v>872</v>
      </c>
      <c r="E467" s="11" t="s">
        <v>11</v>
      </c>
      <c r="F467" s="25">
        <v>38</v>
      </c>
      <c r="G467" s="16">
        <v>0</v>
      </c>
      <c r="H467" s="16">
        <v>0</v>
      </c>
      <c r="I467" s="11" t="s">
        <v>873</v>
      </c>
      <c r="J467" s="21">
        <v>7.05</v>
      </c>
      <c r="K467" s="27" t="str">
        <f t="shared" si="49"/>
        <v>Died</v>
      </c>
      <c r="L467" s="27" t="str">
        <f t="shared" si="50"/>
        <v>Adult</v>
      </c>
      <c r="M467" s="28">
        <f t="shared" si="51"/>
        <v>1</v>
      </c>
      <c r="N467" s="27" t="str">
        <f t="shared" si="52"/>
        <v>Alone</v>
      </c>
      <c r="O467" s="27" t="str">
        <f t="shared" si="53"/>
        <v>Low Fare</v>
      </c>
      <c r="P467" s="27" t="str">
        <f t="shared" si="54"/>
        <v>Third Class</v>
      </c>
      <c r="Q467" s="27">
        <f t="shared" si="55"/>
        <v>1</v>
      </c>
    </row>
    <row r="468" spans="1:17" x14ac:dyDescent="0.3">
      <c r="A468" s="15">
        <v>467</v>
      </c>
      <c r="B468" s="15">
        <v>0</v>
      </c>
      <c r="C468" s="15">
        <v>2</v>
      </c>
      <c r="D468" s="8" t="s">
        <v>874</v>
      </c>
      <c r="E468" s="8" t="s">
        <v>11</v>
      </c>
      <c r="F468" s="24">
        <v>26</v>
      </c>
      <c r="G468" s="15">
        <v>0</v>
      </c>
      <c r="H468" s="15">
        <v>0</v>
      </c>
      <c r="I468" s="8" t="s">
        <v>537</v>
      </c>
      <c r="J468" s="20">
        <v>0</v>
      </c>
      <c r="K468" s="27" t="str">
        <f t="shared" si="49"/>
        <v>Died</v>
      </c>
      <c r="L468" s="27" t="str">
        <f t="shared" si="50"/>
        <v>Young Adult</v>
      </c>
      <c r="M468" s="28">
        <f t="shared" si="51"/>
        <v>1</v>
      </c>
      <c r="N468" s="27" t="str">
        <f t="shared" si="52"/>
        <v>Alone</v>
      </c>
      <c r="O468" s="27" t="str">
        <f t="shared" si="53"/>
        <v>Low Fare</v>
      </c>
      <c r="P468" s="27" t="str">
        <f t="shared" si="54"/>
        <v>Second Class</v>
      </c>
      <c r="Q468" s="27">
        <f t="shared" si="55"/>
        <v>1</v>
      </c>
    </row>
    <row r="469" spans="1:17" x14ac:dyDescent="0.3">
      <c r="A469" s="16">
        <v>468</v>
      </c>
      <c r="B469" s="16">
        <v>0</v>
      </c>
      <c r="C469" s="16">
        <v>1</v>
      </c>
      <c r="D469" s="11" t="s">
        <v>875</v>
      </c>
      <c r="E469" s="11" t="s">
        <v>11</v>
      </c>
      <c r="F469" s="25">
        <v>56</v>
      </c>
      <c r="G469" s="16">
        <v>0</v>
      </c>
      <c r="H469" s="16">
        <v>0</v>
      </c>
      <c r="I469" s="11" t="s">
        <v>876</v>
      </c>
      <c r="J469" s="21">
        <v>26.55</v>
      </c>
      <c r="K469" s="27" t="str">
        <f t="shared" si="49"/>
        <v>Died</v>
      </c>
      <c r="L469" s="27" t="str">
        <f t="shared" si="50"/>
        <v>Adult</v>
      </c>
      <c r="M469" s="28">
        <f t="shared" si="51"/>
        <v>1</v>
      </c>
      <c r="N469" s="27" t="str">
        <f t="shared" si="52"/>
        <v>Alone</v>
      </c>
      <c r="O469" s="27" t="str">
        <f t="shared" si="53"/>
        <v>Medium Fare</v>
      </c>
      <c r="P469" s="27" t="str">
        <f t="shared" si="54"/>
        <v>First Class</v>
      </c>
      <c r="Q469" s="27">
        <f t="shared" si="55"/>
        <v>1</v>
      </c>
    </row>
    <row r="470" spans="1:17" x14ac:dyDescent="0.3">
      <c r="A470" s="15">
        <v>469</v>
      </c>
      <c r="B470" s="15">
        <v>0</v>
      </c>
      <c r="C470" s="15">
        <v>3</v>
      </c>
      <c r="D470" s="8" t="s">
        <v>877</v>
      </c>
      <c r="E470" s="8" t="s">
        <v>11</v>
      </c>
      <c r="F470" s="24">
        <v>26</v>
      </c>
      <c r="G470" s="15">
        <v>0</v>
      </c>
      <c r="H470" s="15">
        <v>0</v>
      </c>
      <c r="I470" s="8" t="s">
        <v>878</v>
      </c>
      <c r="J470" s="20">
        <v>7.7249999999999996</v>
      </c>
      <c r="K470" s="27" t="str">
        <f t="shared" si="49"/>
        <v>Died</v>
      </c>
      <c r="L470" s="27" t="str">
        <f t="shared" si="50"/>
        <v>Young Adult</v>
      </c>
      <c r="M470" s="28">
        <f t="shared" si="51"/>
        <v>1</v>
      </c>
      <c r="N470" s="27" t="str">
        <f t="shared" si="52"/>
        <v>Alone</v>
      </c>
      <c r="O470" s="27" t="str">
        <f t="shared" si="53"/>
        <v>Low Fare</v>
      </c>
      <c r="P470" s="27" t="str">
        <f t="shared" si="54"/>
        <v>Third Class</v>
      </c>
      <c r="Q470" s="27">
        <f t="shared" si="55"/>
        <v>1</v>
      </c>
    </row>
    <row r="471" spans="1:17" x14ac:dyDescent="0.3">
      <c r="A471" s="16">
        <v>470</v>
      </c>
      <c r="B471" s="16">
        <v>1</v>
      </c>
      <c r="C471" s="16">
        <v>3</v>
      </c>
      <c r="D471" s="11" t="s">
        <v>879</v>
      </c>
      <c r="E471" s="11" t="s">
        <v>14</v>
      </c>
      <c r="F471" s="25">
        <v>0.75</v>
      </c>
      <c r="G471" s="16">
        <v>2</v>
      </c>
      <c r="H471" s="16">
        <v>1</v>
      </c>
      <c r="I471" s="11" t="s">
        <v>840</v>
      </c>
      <c r="J471" s="21">
        <v>19.258299999999998</v>
      </c>
      <c r="K471" s="27" t="str">
        <f t="shared" si="49"/>
        <v>Survived</v>
      </c>
      <c r="L471" s="27" t="str">
        <f t="shared" si="50"/>
        <v>Child</v>
      </c>
      <c r="M471" s="28">
        <f t="shared" si="51"/>
        <v>4</v>
      </c>
      <c r="N471" s="27" t="str">
        <f t="shared" si="52"/>
        <v>Small Family</v>
      </c>
      <c r="O471" s="27" t="str">
        <f t="shared" si="53"/>
        <v>Low Fare</v>
      </c>
      <c r="P471" s="27" t="str">
        <f t="shared" si="54"/>
        <v>Third Class</v>
      </c>
      <c r="Q471" s="27">
        <f t="shared" si="55"/>
        <v>2</v>
      </c>
    </row>
    <row r="472" spans="1:17" x14ac:dyDescent="0.3">
      <c r="A472" s="15">
        <v>471</v>
      </c>
      <c r="B472" s="15">
        <v>0</v>
      </c>
      <c r="C472" s="15">
        <v>3</v>
      </c>
      <c r="D472" s="8" t="s">
        <v>880</v>
      </c>
      <c r="E472" s="8" t="s">
        <v>11</v>
      </c>
      <c r="F472" s="24">
        <v>26</v>
      </c>
      <c r="G472" s="15">
        <v>0</v>
      </c>
      <c r="H472" s="15">
        <v>0</v>
      </c>
      <c r="I472" s="8" t="s">
        <v>881</v>
      </c>
      <c r="J472" s="20">
        <v>7.25</v>
      </c>
      <c r="K472" s="27" t="str">
        <f t="shared" si="49"/>
        <v>Died</v>
      </c>
      <c r="L472" s="27" t="str">
        <f t="shared" si="50"/>
        <v>Young Adult</v>
      </c>
      <c r="M472" s="28">
        <f t="shared" si="51"/>
        <v>1</v>
      </c>
      <c r="N472" s="27" t="str">
        <f t="shared" si="52"/>
        <v>Alone</v>
      </c>
      <c r="O472" s="27" t="str">
        <f t="shared" si="53"/>
        <v>Low Fare</v>
      </c>
      <c r="P472" s="27" t="str">
        <f t="shared" si="54"/>
        <v>Third Class</v>
      </c>
      <c r="Q472" s="27">
        <f t="shared" si="55"/>
        <v>1</v>
      </c>
    </row>
    <row r="473" spans="1:17" x14ac:dyDescent="0.3">
      <c r="A473" s="16">
        <v>472</v>
      </c>
      <c r="B473" s="16">
        <v>0</v>
      </c>
      <c r="C473" s="16">
        <v>3</v>
      </c>
      <c r="D473" s="11" t="s">
        <v>882</v>
      </c>
      <c r="E473" s="11" t="s">
        <v>11</v>
      </c>
      <c r="F473" s="25">
        <v>38</v>
      </c>
      <c r="G473" s="16">
        <v>0</v>
      </c>
      <c r="H473" s="16">
        <v>0</v>
      </c>
      <c r="I473" s="11" t="s">
        <v>883</v>
      </c>
      <c r="J473" s="21">
        <v>8.6624999999999996</v>
      </c>
      <c r="K473" s="27" t="str">
        <f t="shared" si="49"/>
        <v>Died</v>
      </c>
      <c r="L473" s="27" t="str">
        <f t="shared" si="50"/>
        <v>Adult</v>
      </c>
      <c r="M473" s="28">
        <f t="shared" si="51"/>
        <v>1</v>
      </c>
      <c r="N473" s="27" t="str">
        <f t="shared" si="52"/>
        <v>Alone</v>
      </c>
      <c r="O473" s="27" t="str">
        <f t="shared" si="53"/>
        <v>Low Fare</v>
      </c>
      <c r="P473" s="27" t="str">
        <f t="shared" si="54"/>
        <v>Third Class</v>
      </c>
      <c r="Q473" s="27">
        <f t="shared" si="55"/>
        <v>1</v>
      </c>
    </row>
    <row r="474" spans="1:17" x14ac:dyDescent="0.3">
      <c r="A474" s="15">
        <v>473</v>
      </c>
      <c r="B474" s="15">
        <v>1</v>
      </c>
      <c r="C474" s="15">
        <v>2</v>
      </c>
      <c r="D474" s="8" t="s">
        <v>884</v>
      </c>
      <c r="E474" s="8" t="s">
        <v>14</v>
      </c>
      <c r="F474" s="24">
        <v>33</v>
      </c>
      <c r="G474" s="15">
        <v>1</v>
      </c>
      <c r="H474" s="15">
        <v>2</v>
      </c>
      <c r="I474" s="8" t="s">
        <v>128</v>
      </c>
      <c r="J474" s="20">
        <v>27.75</v>
      </c>
      <c r="K474" s="27" t="str">
        <f t="shared" si="49"/>
        <v>Survived</v>
      </c>
      <c r="L474" s="27" t="str">
        <f t="shared" si="50"/>
        <v>Young Adult</v>
      </c>
      <c r="M474" s="28">
        <f t="shared" si="51"/>
        <v>4</v>
      </c>
      <c r="N474" s="27" t="str">
        <f t="shared" si="52"/>
        <v>Small Family</v>
      </c>
      <c r="O474" s="27" t="str">
        <f t="shared" si="53"/>
        <v>Medium Fare</v>
      </c>
      <c r="P474" s="27" t="str">
        <f t="shared" si="54"/>
        <v>Second Class</v>
      </c>
      <c r="Q474" s="27">
        <f t="shared" si="55"/>
        <v>2</v>
      </c>
    </row>
    <row r="475" spans="1:17" x14ac:dyDescent="0.3">
      <c r="A475" s="16">
        <v>474</v>
      </c>
      <c r="B475" s="16">
        <v>1</v>
      </c>
      <c r="C475" s="16">
        <v>2</v>
      </c>
      <c r="D475" s="11" t="s">
        <v>885</v>
      </c>
      <c r="E475" s="11" t="s">
        <v>14</v>
      </c>
      <c r="F475" s="25">
        <v>23</v>
      </c>
      <c r="G475" s="16">
        <v>0</v>
      </c>
      <c r="H475" s="16">
        <v>0</v>
      </c>
      <c r="I475" s="11" t="s">
        <v>886</v>
      </c>
      <c r="J475" s="21">
        <v>13.791700000000001</v>
      </c>
      <c r="K475" s="27" t="str">
        <f t="shared" si="49"/>
        <v>Survived</v>
      </c>
      <c r="L475" s="27" t="str">
        <f t="shared" si="50"/>
        <v>Young Adult</v>
      </c>
      <c r="M475" s="28">
        <f t="shared" si="51"/>
        <v>1</v>
      </c>
      <c r="N475" s="27" t="str">
        <f t="shared" si="52"/>
        <v>Alone</v>
      </c>
      <c r="O475" s="27" t="str">
        <f t="shared" si="53"/>
        <v>Low Fare</v>
      </c>
      <c r="P475" s="27" t="str">
        <f t="shared" si="54"/>
        <v>Second Class</v>
      </c>
      <c r="Q475" s="27">
        <f t="shared" si="55"/>
        <v>2</v>
      </c>
    </row>
    <row r="476" spans="1:17" x14ac:dyDescent="0.3">
      <c r="A476" s="15">
        <v>475</v>
      </c>
      <c r="B476" s="15">
        <v>0</v>
      </c>
      <c r="C476" s="15">
        <v>3</v>
      </c>
      <c r="D476" s="8" t="s">
        <v>887</v>
      </c>
      <c r="E476" s="8" t="s">
        <v>14</v>
      </c>
      <c r="F476" s="24">
        <v>22</v>
      </c>
      <c r="G476" s="15">
        <v>0</v>
      </c>
      <c r="H476" s="15">
        <v>0</v>
      </c>
      <c r="I476" s="8" t="s">
        <v>888</v>
      </c>
      <c r="J476" s="20">
        <v>9.8375000000000004</v>
      </c>
      <c r="K476" s="27" t="str">
        <f t="shared" si="49"/>
        <v>Died</v>
      </c>
      <c r="L476" s="27" t="str">
        <f t="shared" si="50"/>
        <v>Young Adult</v>
      </c>
      <c r="M476" s="28">
        <f t="shared" si="51"/>
        <v>1</v>
      </c>
      <c r="N476" s="27" t="str">
        <f t="shared" si="52"/>
        <v>Alone</v>
      </c>
      <c r="O476" s="27" t="str">
        <f t="shared" si="53"/>
        <v>Low Fare</v>
      </c>
      <c r="P476" s="27" t="str">
        <f t="shared" si="54"/>
        <v>Third Class</v>
      </c>
      <c r="Q476" s="27">
        <f t="shared" si="55"/>
        <v>2</v>
      </c>
    </row>
    <row r="477" spans="1:17" x14ac:dyDescent="0.3">
      <c r="A477" s="16">
        <v>476</v>
      </c>
      <c r="B477" s="16">
        <v>0</v>
      </c>
      <c r="C477" s="16">
        <v>1</v>
      </c>
      <c r="D477" s="11" t="s">
        <v>889</v>
      </c>
      <c r="E477" s="11" t="s">
        <v>11</v>
      </c>
      <c r="F477" s="25">
        <v>26</v>
      </c>
      <c r="G477" s="16">
        <v>0</v>
      </c>
      <c r="H477" s="16">
        <v>0</v>
      </c>
      <c r="I477" s="11" t="s">
        <v>230</v>
      </c>
      <c r="J477" s="21">
        <v>52</v>
      </c>
      <c r="K477" s="27" t="str">
        <f t="shared" si="49"/>
        <v>Died</v>
      </c>
      <c r="L477" s="27" t="str">
        <f t="shared" si="50"/>
        <v>Young Adult</v>
      </c>
      <c r="M477" s="28">
        <f t="shared" si="51"/>
        <v>1</v>
      </c>
      <c r="N477" s="27" t="str">
        <f t="shared" si="52"/>
        <v>Alone</v>
      </c>
      <c r="O477" s="27" t="str">
        <f t="shared" si="53"/>
        <v>Medium Fare</v>
      </c>
      <c r="P477" s="27" t="str">
        <f t="shared" si="54"/>
        <v>First Class</v>
      </c>
      <c r="Q477" s="27">
        <f t="shared" si="55"/>
        <v>1</v>
      </c>
    </row>
    <row r="478" spans="1:17" x14ac:dyDescent="0.3">
      <c r="A478" s="15">
        <v>477</v>
      </c>
      <c r="B478" s="15">
        <v>0</v>
      </c>
      <c r="C478" s="15">
        <v>2</v>
      </c>
      <c r="D478" s="8" t="s">
        <v>890</v>
      </c>
      <c r="E478" s="8" t="s">
        <v>11</v>
      </c>
      <c r="F478" s="24">
        <v>34</v>
      </c>
      <c r="G478" s="15">
        <v>1</v>
      </c>
      <c r="H478" s="15">
        <v>0</v>
      </c>
      <c r="I478" s="8" t="s">
        <v>891</v>
      </c>
      <c r="J478" s="20">
        <v>21</v>
      </c>
      <c r="K478" s="27" t="str">
        <f t="shared" si="49"/>
        <v>Died</v>
      </c>
      <c r="L478" s="27" t="str">
        <f t="shared" si="50"/>
        <v>Young Adult</v>
      </c>
      <c r="M478" s="28">
        <f t="shared" si="51"/>
        <v>2</v>
      </c>
      <c r="N478" s="27" t="str">
        <f t="shared" si="52"/>
        <v>Small Family</v>
      </c>
      <c r="O478" s="27" t="str">
        <f t="shared" si="53"/>
        <v>Low Fare</v>
      </c>
      <c r="P478" s="27" t="str">
        <f t="shared" si="54"/>
        <v>Second Class</v>
      </c>
      <c r="Q478" s="27">
        <f t="shared" si="55"/>
        <v>1</v>
      </c>
    </row>
    <row r="479" spans="1:17" x14ac:dyDescent="0.3">
      <c r="A479" s="16">
        <v>478</v>
      </c>
      <c r="B479" s="16">
        <v>0</v>
      </c>
      <c r="C479" s="16">
        <v>3</v>
      </c>
      <c r="D479" s="11" t="s">
        <v>892</v>
      </c>
      <c r="E479" s="11" t="s">
        <v>11</v>
      </c>
      <c r="F479" s="25">
        <v>29</v>
      </c>
      <c r="G479" s="16">
        <v>1</v>
      </c>
      <c r="H479" s="16">
        <v>0</v>
      </c>
      <c r="I479" s="11" t="s">
        <v>893</v>
      </c>
      <c r="J479" s="21">
        <v>7.0457999999999998</v>
      </c>
      <c r="K479" s="27" t="str">
        <f t="shared" si="49"/>
        <v>Died</v>
      </c>
      <c r="L479" s="27" t="str">
        <f t="shared" si="50"/>
        <v>Young Adult</v>
      </c>
      <c r="M479" s="28">
        <f t="shared" si="51"/>
        <v>2</v>
      </c>
      <c r="N479" s="27" t="str">
        <f t="shared" si="52"/>
        <v>Small Family</v>
      </c>
      <c r="O479" s="27" t="str">
        <f t="shared" si="53"/>
        <v>Low Fare</v>
      </c>
      <c r="P479" s="27" t="str">
        <f t="shared" si="54"/>
        <v>Third Class</v>
      </c>
      <c r="Q479" s="27">
        <f t="shared" si="55"/>
        <v>1</v>
      </c>
    </row>
    <row r="480" spans="1:17" x14ac:dyDescent="0.3">
      <c r="A480" s="15">
        <v>479</v>
      </c>
      <c r="B480" s="15">
        <v>0</v>
      </c>
      <c r="C480" s="15">
        <v>3</v>
      </c>
      <c r="D480" s="8" t="s">
        <v>894</v>
      </c>
      <c r="E480" s="8" t="s">
        <v>11</v>
      </c>
      <c r="F480" s="24">
        <v>22</v>
      </c>
      <c r="G480" s="15">
        <v>0</v>
      </c>
      <c r="H480" s="15">
        <v>0</v>
      </c>
      <c r="I480" s="8" t="s">
        <v>895</v>
      </c>
      <c r="J480" s="20">
        <v>7.5208000000000004</v>
      </c>
      <c r="K480" s="27" t="str">
        <f t="shared" si="49"/>
        <v>Died</v>
      </c>
      <c r="L480" s="27" t="str">
        <f t="shared" si="50"/>
        <v>Young Adult</v>
      </c>
      <c r="M480" s="28">
        <f t="shared" si="51"/>
        <v>1</v>
      </c>
      <c r="N480" s="27" t="str">
        <f t="shared" si="52"/>
        <v>Alone</v>
      </c>
      <c r="O480" s="27" t="str">
        <f t="shared" si="53"/>
        <v>Low Fare</v>
      </c>
      <c r="P480" s="27" t="str">
        <f t="shared" si="54"/>
        <v>Third Class</v>
      </c>
      <c r="Q480" s="27">
        <f t="shared" si="55"/>
        <v>1</v>
      </c>
    </row>
    <row r="481" spans="1:17" x14ac:dyDescent="0.3">
      <c r="A481" s="16">
        <v>480</v>
      </c>
      <c r="B481" s="16">
        <v>1</v>
      </c>
      <c r="C481" s="16">
        <v>3</v>
      </c>
      <c r="D481" s="11" t="s">
        <v>896</v>
      </c>
      <c r="E481" s="11" t="s">
        <v>14</v>
      </c>
      <c r="F481" s="25">
        <v>2</v>
      </c>
      <c r="G481" s="16">
        <v>0</v>
      </c>
      <c r="H481" s="16">
        <v>1</v>
      </c>
      <c r="I481" s="11" t="s">
        <v>897</v>
      </c>
      <c r="J481" s="21">
        <v>12.2875</v>
      </c>
      <c r="K481" s="27" t="str">
        <f t="shared" si="49"/>
        <v>Survived</v>
      </c>
      <c r="L481" s="27" t="str">
        <f t="shared" si="50"/>
        <v>Child</v>
      </c>
      <c r="M481" s="28">
        <f t="shared" si="51"/>
        <v>2</v>
      </c>
      <c r="N481" s="27" t="str">
        <f t="shared" si="52"/>
        <v>Small Family</v>
      </c>
      <c r="O481" s="27" t="str">
        <f t="shared" si="53"/>
        <v>Low Fare</v>
      </c>
      <c r="P481" s="27" t="str">
        <f t="shared" si="54"/>
        <v>Third Class</v>
      </c>
      <c r="Q481" s="27">
        <f t="shared" si="55"/>
        <v>2</v>
      </c>
    </row>
    <row r="482" spans="1:17" x14ac:dyDescent="0.3">
      <c r="A482" s="15">
        <v>481</v>
      </c>
      <c r="B482" s="15">
        <v>0</v>
      </c>
      <c r="C482" s="15">
        <v>3</v>
      </c>
      <c r="D482" s="8" t="s">
        <v>898</v>
      </c>
      <c r="E482" s="8" t="s">
        <v>11</v>
      </c>
      <c r="F482" s="24">
        <v>9</v>
      </c>
      <c r="G482" s="15">
        <v>5</v>
      </c>
      <c r="H482" s="15">
        <v>2</v>
      </c>
      <c r="I482" s="8" t="s">
        <v>130</v>
      </c>
      <c r="J482" s="20">
        <v>46.9</v>
      </c>
      <c r="K482" s="27" t="str">
        <f t="shared" si="49"/>
        <v>Died</v>
      </c>
      <c r="L482" s="27" t="str">
        <f t="shared" si="50"/>
        <v>Child</v>
      </c>
      <c r="M482" s="28">
        <f t="shared" si="51"/>
        <v>8</v>
      </c>
      <c r="N482" s="27" t="str">
        <f t="shared" si="52"/>
        <v>Large Family</v>
      </c>
      <c r="O482" s="27" t="str">
        <f t="shared" si="53"/>
        <v>Medium Fare</v>
      </c>
      <c r="P482" s="27" t="str">
        <f t="shared" si="54"/>
        <v>Third Class</v>
      </c>
      <c r="Q482" s="27">
        <f t="shared" si="55"/>
        <v>1</v>
      </c>
    </row>
    <row r="483" spans="1:17" x14ac:dyDescent="0.3">
      <c r="A483" s="16">
        <v>482</v>
      </c>
      <c r="B483" s="16">
        <v>0</v>
      </c>
      <c r="C483" s="16">
        <v>2</v>
      </c>
      <c r="D483" s="11" t="s">
        <v>899</v>
      </c>
      <c r="E483" s="11" t="s">
        <v>11</v>
      </c>
      <c r="F483" s="25">
        <v>26</v>
      </c>
      <c r="G483" s="16">
        <v>0</v>
      </c>
      <c r="H483" s="16">
        <v>0</v>
      </c>
      <c r="I483" s="11" t="s">
        <v>900</v>
      </c>
      <c r="J483" s="21">
        <v>0</v>
      </c>
      <c r="K483" s="27" t="str">
        <f t="shared" si="49"/>
        <v>Died</v>
      </c>
      <c r="L483" s="27" t="str">
        <f t="shared" si="50"/>
        <v>Young Adult</v>
      </c>
      <c r="M483" s="28">
        <f t="shared" si="51"/>
        <v>1</v>
      </c>
      <c r="N483" s="27" t="str">
        <f t="shared" si="52"/>
        <v>Alone</v>
      </c>
      <c r="O483" s="27" t="str">
        <f t="shared" si="53"/>
        <v>Low Fare</v>
      </c>
      <c r="P483" s="27" t="str">
        <f t="shared" si="54"/>
        <v>Second Class</v>
      </c>
      <c r="Q483" s="27">
        <f t="shared" si="55"/>
        <v>1</v>
      </c>
    </row>
    <row r="484" spans="1:17" x14ac:dyDescent="0.3">
      <c r="A484" s="15">
        <v>483</v>
      </c>
      <c r="B484" s="15">
        <v>0</v>
      </c>
      <c r="C484" s="15">
        <v>3</v>
      </c>
      <c r="D484" s="8" t="s">
        <v>901</v>
      </c>
      <c r="E484" s="8" t="s">
        <v>11</v>
      </c>
      <c r="F484" s="24">
        <v>50</v>
      </c>
      <c r="G484" s="15">
        <v>0</v>
      </c>
      <c r="H484" s="15">
        <v>0</v>
      </c>
      <c r="I484" s="8" t="s">
        <v>902</v>
      </c>
      <c r="J484" s="20">
        <v>8.0500000000000007</v>
      </c>
      <c r="K484" s="27" t="str">
        <f t="shared" si="49"/>
        <v>Died</v>
      </c>
      <c r="L484" s="27" t="str">
        <f t="shared" si="50"/>
        <v>Adult</v>
      </c>
      <c r="M484" s="28">
        <f t="shared" si="51"/>
        <v>1</v>
      </c>
      <c r="N484" s="27" t="str">
        <f t="shared" si="52"/>
        <v>Alone</v>
      </c>
      <c r="O484" s="27" t="str">
        <f t="shared" si="53"/>
        <v>Low Fare</v>
      </c>
      <c r="P484" s="27" t="str">
        <f t="shared" si="54"/>
        <v>Third Class</v>
      </c>
      <c r="Q484" s="27">
        <f t="shared" si="55"/>
        <v>1</v>
      </c>
    </row>
    <row r="485" spans="1:17" x14ac:dyDescent="0.3">
      <c r="A485" s="16">
        <v>484</v>
      </c>
      <c r="B485" s="16">
        <v>1</v>
      </c>
      <c r="C485" s="16">
        <v>3</v>
      </c>
      <c r="D485" s="11" t="s">
        <v>903</v>
      </c>
      <c r="E485" s="11" t="s">
        <v>14</v>
      </c>
      <c r="F485" s="25">
        <v>63</v>
      </c>
      <c r="G485" s="16">
        <v>0</v>
      </c>
      <c r="H485" s="16">
        <v>0</v>
      </c>
      <c r="I485" s="11" t="s">
        <v>904</v>
      </c>
      <c r="J485" s="21">
        <v>9.5875000000000004</v>
      </c>
      <c r="K485" s="27" t="str">
        <f t="shared" si="49"/>
        <v>Survived</v>
      </c>
      <c r="L485" s="27" t="str">
        <f t="shared" si="50"/>
        <v>Senior</v>
      </c>
      <c r="M485" s="28">
        <f t="shared" si="51"/>
        <v>1</v>
      </c>
      <c r="N485" s="27" t="str">
        <f t="shared" si="52"/>
        <v>Alone</v>
      </c>
      <c r="O485" s="27" t="str">
        <f t="shared" si="53"/>
        <v>Low Fare</v>
      </c>
      <c r="P485" s="27" t="str">
        <f t="shared" si="54"/>
        <v>Third Class</v>
      </c>
      <c r="Q485" s="27">
        <f t="shared" si="55"/>
        <v>2</v>
      </c>
    </row>
    <row r="486" spans="1:17" x14ac:dyDescent="0.3">
      <c r="A486" s="15">
        <v>485</v>
      </c>
      <c r="B486" s="15">
        <v>1</v>
      </c>
      <c r="C486" s="15">
        <v>1</v>
      </c>
      <c r="D486" s="8" t="s">
        <v>905</v>
      </c>
      <c r="E486" s="8" t="s">
        <v>11</v>
      </c>
      <c r="F486" s="24">
        <v>25</v>
      </c>
      <c r="G486" s="15">
        <v>1</v>
      </c>
      <c r="H486" s="15">
        <v>0</v>
      </c>
      <c r="I486" s="8" t="s">
        <v>564</v>
      </c>
      <c r="J486" s="20">
        <v>91.0792</v>
      </c>
      <c r="K486" s="27" t="str">
        <f t="shared" si="49"/>
        <v>Survived</v>
      </c>
      <c r="L486" s="27" t="str">
        <f t="shared" si="50"/>
        <v>Young Adult</v>
      </c>
      <c r="M486" s="28">
        <f t="shared" si="51"/>
        <v>2</v>
      </c>
      <c r="N486" s="27" t="str">
        <f t="shared" si="52"/>
        <v>Small Family</v>
      </c>
      <c r="O486" s="27" t="str">
        <f t="shared" si="53"/>
        <v>Medium Fare</v>
      </c>
      <c r="P486" s="27" t="str">
        <f t="shared" si="54"/>
        <v>First Class</v>
      </c>
      <c r="Q486" s="27">
        <f t="shared" si="55"/>
        <v>1</v>
      </c>
    </row>
    <row r="487" spans="1:17" x14ac:dyDescent="0.3">
      <c r="A487" s="16">
        <v>486</v>
      </c>
      <c r="B487" s="16">
        <v>0</v>
      </c>
      <c r="C487" s="16">
        <v>3</v>
      </c>
      <c r="D487" s="11" t="s">
        <v>906</v>
      </c>
      <c r="E487" s="11" t="s">
        <v>14</v>
      </c>
      <c r="F487" s="25">
        <v>26</v>
      </c>
      <c r="G487" s="16">
        <v>3</v>
      </c>
      <c r="H487" s="16">
        <v>1</v>
      </c>
      <c r="I487" s="11" t="s">
        <v>349</v>
      </c>
      <c r="J487" s="21">
        <v>25.466699999999999</v>
      </c>
      <c r="K487" s="27" t="str">
        <f t="shared" si="49"/>
        <v>Died</v>
      </c>
      <c r="L487" s="27" t="str">
        <f t="shared" si="50"/>
        <v>Young Adult</v>
      </c>
      <c r="M487" s="28">
        <f t="shared" si="51"/>
        <v>5</v>
      </c>
      <c r="N487" s="27" t="str">
        <f t="shared" si="52"/>
        <v>Large Family</v>
      </c>
      <c r="O487" s="27" t="str">
        <f t="shared" si="53"/>
        <v>Medium Fare</v>
      </c>
      <c r="P487" s="27" t="str">
        <f t="shared" si="54"/>
        <v>Third Class</v>
      </c>
      <c r="Q487" s="27">
        <f t="shared" si="55"/>
        <v>2</v>
      </c>
    </row>
    <row r="488" spans="1:17" x14ac:dyDescent="0.3">
      <c r="A488" s="15">
        <v>487</v>
      </c>
      <c r="B488" s="15">
        <v>1</v>
      </c>
      <c r="C488" s="15">
        <v>1</v>
      </c>
      <c r="D488" s="8" t="s">
        <v>907</v>
      </c>
      <c r="E488" s="8" t="s">
        <v>14</v>
      </c>
      <c r="F488" s="24">
        <v>35</v>
      </c>
      <c r="G488" s="15">
        <v>1</v>
      </c>
      <c r="H488" s="15">
        <v>0</v>
      </c>
      <c r="I488" s="8" t="s">
        <v>439</v>
      </c>
      <c r="J488" s="20">
        <v>90</v>
      </c>
      <c r="K488" s="27" t="str">
        <f t="shared" si="49"/>
        <v>Survived</v>
      </c>
      <c r="L488" s="27" t="str">
        <f t="shared" si="50"/>
        <v>Adult</v>
      </c>
      <c r="M488" s="28">
        <f t="shared" si="51"/>
        <v>2</v>
      </c>
      <c r="N488" s="27" t="str">
        <f t="shared" si="52"/>
        <v>Small Family</v>
      </c>
      <c r="O488" s="27" t="str">
        <f t="shared" si="53"/>
        <v>Medium Fare</v>
      </c>
      <c r="P488" s="27" t="str">
        <f t="shared" si="54"/>
        <v>First Class</v>
      </c>
      <c r="Q488" s="27">
        <f t="shared" si="55"/>
        <v>2</v>
      </c>
    </row>
    <row r="489" spans="1:17" x14ac:dyDescent="0.3">
      <c r="A489" s="16">
        <v>488</v>
      </c>
      <c r="B489" s="16">
        <v>0</v>
      </c>
      <c r="C489" s="16">
        <v>1</v>
      </c>
      <c r="D489" s="11" t="s">
        <v>908</v>
      </c>
      <c r="E489" s="11" t="s">
        <v>11</v>
      </c>
      <c r="F489" s="25">
        <v>58</v>
      </c>
      <c r="G489" s="16">
        <v>0</v>
      </c>
      <c r="H489" s="16">
        <v>0</v>
      </c>
      <c r="I489" s="11" t="s">
        <v>909</v>
      </c>
      <c r="J489" s="21">
        <v>29.7</v>
      </c>
      <c r="K489" s="27" t="str">
        <f t="shared" si="49"/>
        <v>Died</v>
      </c>
      <c r="L489" s="27" t="str">
        <f t="shared" si="50"/>
        <v>Adult</v>
      </c>
      <c r="M489" s="28">
        <f t="shared" si="51"/>
        <v>1</v>
      </c>
      <c r="N489" s="27" t="str">
        <f t="shared" si="52"/>
        <v>Alone</v>
      </c>
      <c r="O489" s="27" t="str">
        <f t="shared" si="53"/>
        <v>Medium Fare</v>
      </c>
      <c r="P489" s="27" t="str">
        <f t="shared" si="54"/>
        <v>First Class</v>
      </c>
      <c r="Q489" s="27">
        <f t="shared" si="55"/>
        <v>1</v>
      </c>
    </row>
    <row r="490" spans="1:17" x14ac:dyDescent="0.3">
      <c r="A490" s="15">
        <v>489</v>
      </c>
      <c r="B490" s="15">
        <v>0</v>
      </c>
      <c r="C490" s="15">
        <v>3</v>
      </c>
      <c r="D490" s="8" t="s">
        <v>910</v>
      </c>
      <c r="E490" s="8" t="s">
        <v>11</v>
      </c>
      <c r="F490" s="24">
        <v>30</v>
      </c>
      <c r="G490" s="15">
        <v>0</v>
      </c>
      <c r="H490" s="15">
        <v>0</v>
      </c>
      <c r="I490" s="8" t="s">
        <v>911</v>
      </c>
      <c r="J490" s="20">
        <v>8.0500000000000007</v>
      </c>
      <c r="K490" s="27" t="str">
        <f t="shared" si="49"/>
        <v>Died</v>
      </c>
      <c r="L490" s="27" t="str">
        <f t="shared" si="50"/>
        <v>Young Adult</v>
      </c>
      <c r="M490" s="28">
        <f t="shared" si="51"/>
        <v>1</v>
      </c>
      <c r="N490" s="27" t="str">
        <f t="shared" si="52"/>
        <v>Alone</v>
      </c>
      <c r="O490" s="27" t="str">
        <f t="shared" si="53"/>
        <v>Low Fare</v>
      </c>
      <c r="P490" s="27" t="str">
        <f t="shared" si="54"/>
        <v>Third Class</v>
      </c>
      <c r="Q490" s="27">
        <f t="shared" si="55"/>
        <v>1</v>
      </c>
    </row>
    <row r="491" spans="1:17" x14ac:dyDescent="0.3">
      <c r="A491" s="16">
        <v>490</v>
      </c>
      <c r="B491" s="16">
        <v>1</v>
      </c>
      <c r="C491" s="16">
        <v>3</v>
      </c>
      <c r="D491" s="11" t="s">
        <v>912</v>
      </c>
      <c r="E491" s="11" t="s">
        <v>11</v>
      </c>
      <c r="F491" s="25">
        <v>9</v>
      </c>
      <c r="G491" s="16">
        <v>1</v>
      </c>
      <c r="H491" s="16">
        <v>1</v>
      </c>
      <c r="I491" s="11" t="s">
        <v>663</v>
      </c>
      <c r="J491" s="21">
        <v>15.9</v>
      </c>
      <c r="K491" s="27" t="str">
        <f t="shared" si="49"/>
        <v>Survived</v>
      </c>
      <c r="L491" s="27" t="str">
        <f t="shared" si="50"/>
        <v>Child</v>
      </c>
      <c r="M491" s="28">
        <f t="shared" si="51"/>
        <v>3</v>
      </c>
      <c r="N491" s="27" t="str">
        <f t="shared" si="52"/>
        <v>Small Family</v>
      </c>
      <c r="O491" s="27" t="str">
        <f t="shared" si="53"/>
        <v>Low Fare</v>
      </c>
      <c r="P491" s="27" t="str">
        <f t="shared" si="54"/>
        <v>Third Class</v>
      </c>
      <c r="Q491" s="27">
        <f t="shared" si="55"/>
        <v>1</v>
      </c>
    </row>
    <row r="492" spans="1:17" x14ac:dyDescent="0.3">
      <c r="A492" s="15">
        <v>491</v>
      </c>
      <c r="B492" s="15">
        <v>0</v>
      </c>
      <c r="C492" s="15">
        <v>3</v>
      </c>
      <c r="D492" s="8" t="s">
        <v>913</v>
      </c>
      <c r="E492" s="8" t="s">
        <v>11</v>
      </c>
      <c r="F492" s="24">
        <v>26</v>
      </c>
      <c r="G492" s="15">
        <v>1</v>
      </c>
      <c r="H492" s="15">
        <v>0</v>
      </c>
      <c r="I492" s="8" t="s">
        <v>914</v>
      </c>
      <c r="J492" s="20">
        <v>19.966699999999999</v>
      </c>
      <c r="K492" s="27" t="str">
        <f t="shared" si="49"/>
        <v>Died</v>
      </c>
      <c r="L492" s="27" t="str">
        <f t="shared" si="50"/>
        <v>Young Adult</v>
      </c>
      <c r="M492" s="28">
        <f t="shared" si="51"/>
        <v>2</v>
      </c>
      <c r="N492" s="27" t="str">
        <f t="shared" si="52"/>
        <v>Small Family</v>
      </c>
      <c r="O492" s="27" t="str">
        <f t="shared" si="53"/>
        <v>Low Fare</v>
      </c>
      <c r="P492" s="27" t="str">
        <f t="shared" si="54"/>
        <v>Third Class</v>
      </c>
      <c r="Q492" s="27">
        <f t="shared" si="55"/>
        <v>1</v>
      </c>
    </row>
    <row r="493" spans="1:17" x14ac:dyDescent="0.3">
      <c r="A493" s="16">
        <v>492</v>
      </c>
      <c r="B493" s="16">
        <v>0</v>
      </c>
      <c r="C493" s="16">
        <v>3</v>
      </c>
      <c r="D493" s="11" t="s">
        <v>915</v>
      </c>
      <c r="E493" s="11" t="s">
        <v>11</v>
      </c>
      <c r="F493" s="25">
        <v>21</v>
      </c>
      <c r="G493" s="16">
        <v>0</v>
      </c>
      <c r="H493" s="16">
        <v>0</v>
      </c>
      <c r="I493" s="11" t="s">
        <v>916</v>
      </c>
      <c r="J493" s="21">
        <v>7.25</v>
      </c>
      <c r="K493" s="27" t="str">
        <f t="shared" si="49"/>
        <v>Died</v>
      </c>
      <c r="L493" s="27" t="str">
        <f t="shared" si="50"/>
        <v>Young Adult</v>
      </c>
      <c r="M493" s="28">
        <f t="shared" si="51"/>
        <v>1</v>
      </c>
      <c r="N493" s="27" t="str">
        <f t="shared" si="52"/>
        <v>Alone</v>
      </c>
      <c r="O493" s="27" t="str">
        <f t="shared" si="53"/>
        <v>Low Fare</v>
      </c>
      <c r="P493" s="27" t="str">
        <f t="shared" si="54"/>
        <v>Third Class</v>
      </c>
      <c r="Q493" s="27">
        <f t="shared" si="55"/>
        <v>1</v>
      </c>
    </row>
    <row r="494" spans="1:17" x14ac:dyDescent="0.3">
      <c r="A494" s="15">
        <v>493</v>
      </c>
      <c r="B494" s="15">
        <v>0</v>
      </c>
      <c r="C494" s="15">
        <v>1</v>
      </c>
      <c r="D494" s="8" t="s">
        <v>917</v>
      </c>
      <c r="E494" s="8" t="s">
        <v>11</v>
      </c>
      <c r="F494" s="24">
        <v>55</v>
      </c>
      <c r="G494" s="15">
        <v>0</v>
      </c>
      <c r="H494" s="15">
        <v>0</v>
      </c>
      <c r="I494" s="8" t="s">
        <v>918</v>
      </c>
      <c r="J494" s="20">
        <v>30.5</v>
      </c>
      <c r="K494" s="27" t="str">
        <f t="shared" si="49"/>
        <v>Died</v>
      </c>
      <c r="L494" s="27" t="str">
        <f t="shared" si="50"/>
        <v>Adult</v>
      </c>
      <c r="M494" s="28">
        <f t="shared" si="51"/>
        <v>1</v>
      </c>
      <c r="N494" s="27" t="str">
        <f t="shared" si="52"/>
        <v>Alone</v>
      </c>
      <c r="O494" s="27" t="str">
        <f t="shared" si="53"/>
        <v>Medium Fare</v>
      </c>
      <c r="P494" s="27" t="str">
        <f t="shared" si="54"/>
        <v>First Class</v>
      </c>
      <c r="Q494" s="27">
        <f t="shared" si="55"/>
        <v>1</v>
      </c>
    </row>
    <row r="495" spans="1:17" x14ac:dyDescent="0.3">
      <c r="A495" s="16">
        <v>494</v>
      </c>
      <c r="B495" s="16">
        <v>0</v>
      </c>
      <c r="C495" s="16">
        <v>1</v>
      </c>
      <c r="D495" s="11" t="s">
        <v>919</v>
      </c>
      <c r="E495" s="11" t="s">
        <v>11</v>
      </c>
      <c r="F495" s="25">
        <v>71</v>
      </c>
      <c r="G495" s="16">
        <v>0</v>
      </c>
      <c r="H495" s="16">
        <v>0</v>
      </c>
      <c r="I495" s="11" t="s">
        <v>920</v>
      </c>
      <c r="J495" s="21">
        <v>49.504199999999997</v>
      </c>
      <c r="K495" s="27" t="str">
        <f t="shared" si="49"/>
        <v>Died</v>
      </c>
      <c r="L495" s="27" t="str">
        <f t="shared" si="50"/>
        <v>Senior</v>
      </c>
      <c r="M495" s="28">
        <f t="shared" si="51"/>
        <v>1</v>
      </c>
      <c r="N495" s="27" t="str">
        <f t="shared" si="52"/>
        <v>Alone</v>
      </c>
      <c r="O495" s="27" t="str">
        <f t="shared" si="53"/>
        <v>Medium Fare</v>
      </c>
      <c r="P495" s="27" t="str">
        <f t="shared" si="54"/>
        <v>First Class</v>
      </c>
      <c r="Q495" s="27">
        <f t="shared" si="55"/>
        <v>1</v>
      </c>
    </row>
    <row r="496" spans="1:17" x14ac:dyDescent="0.3">
      <c r="A496" s="15">
        <v>495</v>
      </c>
      <c r="B496" s="15">
        <v>0</v>
      </c>
      <c r="C496" s="15">
        <v>3</v>
      </c>
      <c r="D496" s="8" t="s">
        <v>921</v>
      </c>
      <c r="E496" s="8" t="s">
        <v>11</v>
      </c>
      <c r="F496" s="24">
        <v>21</v>
      </c>
      <c r="G496" s="15">
        <v>0</v>
      </c>
      <c r="H496" s="15">
        <v>0</v>
      </c>
      <c r="I496" s="8" t="s">
        <v>922</v>
      </c>
      <c r="J496" s="20">
        <v>8.0500000000000007</v>
      </c>
      <c r="K496" s="27" t="str">
        <f t="shared" si="49"/>
        <v>Died</v>
      </c>
      <c r="L496" s="27" t="str">
        <f t="shared" si="50"/>
        <v>Young Adult</v>
      </c>
      <c r="M496" s="28">
        <f t="shared" si="51"/>
        <v>1</v>
      </c>
      <c r="N496" s="27" t="str">
        <f t="shared" si="52"/>
        <v>Alone</v>
      </c>
      <c r="O496" s="27" t="str">
        <f t="shared" si="53"/>
        <v>Low Fare</v>
      </c>
      <c r="P496" s="27" t="str">
        <f t="shared" si="54"/>
        <v>Third Class</v>
      </c>
      <c r="Q496" s="27">
        <f t="shared" si="55"/>
        <v>1</v>
      </c>
    </row>
    <row r="497" spans="1:17" x14ac:dyDescent="0.3">
      <c r="A497" s="16">
        <v>496</v>
      </c>
      <c r="B497" s="16">
        <v>0</v>
      </c>
      <c r="C497" s="16">
        <v>3</v>
      </c>
      <c r="D497" s="11" t="s">
        <v>923</v>
      </c>
      <c r="E497" s="11" t="s">
        <v>11</v>
      </c>
      <c r="F497" s="25">
        <v>26</v>
      </c>
      <c r="G497" s="16">
        <v>0</v>
      </c>
      <c r="H497" s="16">
        <v>0</v>
      </c>
      <c r="I497" s="11" t="s">
        <v>238</v>
      </c>
      <c r="J497" s="21">
        <v>14.458299999999999</v>
      </c>
      <c r="K497" s="27" t="str">
        <f t="shared" si="49"/>
        <v>Died</v>
      </c>
      <c r="L497" s="27" t="str">
        <f t="shared" si="50"/>
        <v>Young Adult</v>
      </c>
      <c r="M497" s="28">
        <f t="shared" si="51"/>
        <v>1</v>
      </c>
      <c r="N497" s="27" t="str">
        <f t="shared" si="52"/>
        <v>Alone</v>
      </c>
      <c r="O497" s="27" t="str">
        <f t="shared" si="53"/>
        <v>Low Fare</v>
      </c>
      <c r="P497" s="27" t="str">
        <f t="shared" si="54"/>
        <v>Third Class</v>
      </c>
      <c r="Q497" s="27">
        <f t="shared" si="55"/>
        <v>1</v>
      </c>
    </row>
    <row r="498" spans="1:17" x14ac:dyDescent="0.3">
      <c r="A498" s="15">
        <v>497</v>
      </c>
      <c r="B498" s="15">
        <v>1</v>
      </c>
      <c r="C498" s="15">
        <v>1</v>
      </c>
      <c r="D498" s="8" t="s">
        <v>924</v>
      </c>
      <c r="E498" s="8" t="s">
        <v>14</v>
      </c>
      <c r="F498" s="24">
        <v>54</v>
      </c>
      <c r="G498" s="15">
        <v>1</v>
      </c>
      <c r="H498" s="15">
        <v>0</v>
      </c>
      <c r="I498" s="8" t="s">
        <v>925</v>
      </c>
      <c r="J498" s="20">
        <v>78.2667</v>
      </c>
      <c r="K498" s="27" t="str">
        <f t="shared" si="49"/>
        <v>Survived</v>
      </c>
      <c r="L498" s="27" t="str">
        <f t="shared" si="50"/>
        <v>Adult</v>
      </c>
      <c r="M498" s="28">
        <f t="shared" si="51"/>
        <v>2</v>
      </c>
      <c r="N498" s="27" t="str">
        <f t="shared" si="52"/>
        <v>Small Family</v>
      </c>
      <c r="O498" s="27" t="str">
        <f t="shared" si="53"/>
        <v>Medium Fare</v>
      </c>
      <c r="P498" s="27" t="str">
        <f t="shared" si="54"/>
        <v>First Class</v>
      </c>
      <c r="Q498" s="27">
        <f t="shared" si="55"/>
        <v>2</v>
      </c>
    </row>
    <row r="499" spans="1:17" x14ac:dyDescent="0.3">
      <c r="A499" s="16">
        <v>498</v>
      </c>
      <c r="B499" s="16">
        <v>0</v>
      </c>
      <c r="C499" s="16">
        <v>3</v>
      </c>
      <c r="D499" s="11" t="s">
        <v>926</v>
      </c>
      <c r="E499" s="11" t="s">
        <v>11</v>
      </c>
      <c r="F499" s="25">
        <v>26</v>
      </c>
      <c r="G499" s="16">
        <v>0</v>
      </c>
      <c r="H499" s="16">
        <v>0</v>
      </c>
      <c r="I499" s="11" t="s">
        <v>927</v>
      </c>
      <c r="J499" s="21">
        <v>15.1</v>
      </c>
      <c r="K499" s="27" t="str">
        <f t="shared" si="49"/>
        <v>Died</v>
      </c>
      <c r="L499" s="27" t="str">
        <f t="shared" si="50"/>
        <v>Young Adult</v>
      </c>
      <c r="M499" s="28">
        <f t="shared" si="51"/>
        <v>1</v>
      </c>
      <c r="N499" s="27" t="str">
        <f t="shared" si="52"/>
        <v>Alone</v>
      </c>
      <c r="O499" s="27" t="str">
        <f t="shared" si="53"/>
        <v>Low Fare</v>
      </c>
      <c r="P499" s="27" t="str">
        <f t="shared" si="54"/>
        <v>Third Class</v>
      </c>
      <c r="Q499" s="27">
        <f t="shared" si="55"/>
        <v>1</v>
      </c>
    </row>
    <row r="500" spans="1:17" x14ac:dyDescent="0.3">
      <c r="A500" s="15">
        <v>499</v>
      </c>
      <c r="B500" s="15">
        <v>0</v>
      </c>
      <c r="C500" s="15">
        <v>1</v>
      </c>
      <c r="D500" s="8" t="s">
        <v>928</v>
      </c>
      <c r="E500" s="8" t="s">
        <v>14</v>
      </c>
      <c r="F500" s="24">
        <v>25</v>
      </c>
      <c r="G500" s="15">
        <v>1</v>
      </c>
      <c r="H500" s="15">
        <v>2</v>
      </c>
      <c r="I500" s="8" t="s">
        <v>576</v>
      </c>
      <c r="J500" s="20">
        <v>151.55000000000001</v>
      </c>
      <c r="K500" s="27" t="str">
        <f t="shared" si="49"/>
        <v>Died</v>
      </c>
      <c r="L500" s="27" t="str">
        <f t="shared" si="50"/>
        <v>Young Adult</v>
      </c>
      <c r="M500" s="28">
        <f t="shared" si="51"/>
        <v>4</v>
      </c>
      <c r="N500" s="27" t="str">
        <f t="shared" si="52"/>
        <v>Small Family</v>
      </c>
      <c r="O500" s="27" t="str">
        <f t="shared" si="53"/>
        <v>High Fare</v>
      </c>
      <c r="P500" s="27" t="str">
        <f t="shared" si="54"/>
        <v>First Class</v>
      </c>
      <c r="Q500" s="27">
        <f t="shared" si="55"/>
        <v>2</v>
      </c>
    </row>
    <row r="501" spans="1:17" x14ac:dyDescent="0.3">
      <c r="A501" s="16">
        <v>500</v>
      </c>
      <c r="B501" s="16">
        <v>0</v>
      </c>
      <c r="C501" s="16">
        <v>3</v>
      </c>
      <c r="D501" s="11" t="s">
        <v>929</v>
      </c>
      <c r="E501" s="11" t="s">
        <v>11</v>
      </c>
      <c r="F501" s="25">
        <v>24</v>
      </c>
      <c r="G501" s="16">
        <v>0</v>
      </c>
      <c r="H501" s="16">
        <v>0</v>
      </c>
      <c r="I501" s="11" t="s">
        <v>930</v>
      </c>
      <c r="J501" s="21">
        <v>7.7957999999999998</v>
      </c>
      <c r="K501" s="27" t="str">
        <f t="shared" si="49"/>
        <v>Died</v>
      </c>
      <c r="L501" s="27" t="str">
        <f t="shared" si="50"/>
        <v>Young Adult</v>
      </c>
      <c r="M501" s="28">
        <f t="shared" si="51"/>
        <v>1</v>
      </c>
      <c r="N501" s="27" t="str">
        <f t="shared" si="52"/>
        <v>Alone</v>
      </c>
      <c r="O501" s="27" t="str">
        <f t="shared" si="53"/>
        <v>Low Fare</v>
      </c>
      <c r="P501" s="27" t="str">
        <f t="shared" si="54"/>
        <v>Third Class</v>
      </c>
      <c r="Q501" s="27">
        <f t="shared" si="55"/>
        <v>1</v>
      </c>
    </row>
    <row r="502" spans="1:17" x14ac:dyDescent="0.3">
      <c r="A502" s="15">
        <v>501</v>
      </c>
      <c r="B502" s="15">
        <v>0</v>
      </c>
      <c r="C502" s="15">
        <v>3</v>
      </c>
      <c r="D502" s="8" t="s">
        <v>931</v>
      </c>
      <c r="E502" s="8" t="s">
        <v>11</v>
      </c>
      <c r="F502" s="24">
        <v>17</v>
      </c>
      <c r="G502" s="15">
        <v>0</v>
      </c>
      <c r="H502" s="15">
        <v>0</v>
      </c>
      <c r="I502" s="8" t="s">
        <v>932</v>
      </c>
      <c r="J502" s="20">
        <v>8.6624999999999996</v>
      </c>
      <c r="K502" s="27" t="str">
        <f t="shared" si="49"/>
        <v>Died</v>
      </c>
      <c r="L502" s="27" t="str">
        <f t="shared" si="50"/>
        <v>Child</v>
      </c>
      <c r="M502" s="28">
        <f t="shared" si="51"/>
        <v>1</v>
      </c>
      <c r="N502" s="27" t="str">
        <f t="shared" si="52"/>
        <v>Alone</v>
      </c>
      <c r="O502" s="27" t="str">
        <f t="shared" si="53"/>
        <v>Low Fare</v>
      </c>
      <c r="P502" s="27" t="str">
        <f t="shared" si="54"/>
        <v>Third Class</v>
      </c>
      <c r="Q502" s="27">
        <f t="shared" si="55"/>
        <v>1</v>
      </c>
    </row>
    <row r="503" spans="1:17" x14ac:dyDescent="0.3">
      <c r="A503" s="16">
        <v>502</v>
      </c>
      <c r="B503" s="16">
        <v>0</v>
      </c>
      <c r="C503" s="16">
        <v>3</v>
      </c>
      <c r="D503" s="11" t="s">
        <v>933</v>
      </c>
      <c r="E503" s="11" t="s">
        <v>14</v>
      </c>
      <c r="F503" s="25">
        <v>21</v>
      </c>
      <c r="G503" s="16">
        <v>0</v>
      </c>
      <c r="H503" s="16">
        <v>0</v>
      </c>
      <c r="I503" s="11" t="s">
        <v>934</v>
      </c>
      <c r="J503" s="21">
        <v>7.75</v>
      </c>
      <c r="K503" s="27" t="str">
        <f t="shared" si="49"/>
        <v>Died</v>
      </c>
      <c r="L503" s="27" t="str">
        <f t="shared" si="50"/>
        <v>Young Adult</v>
      </c>
      <c r="M503" s="28">
        <f t="shared" si="51"/>
        <v>1</v>
      </c>
      <c r="N503" s="27" t="str">
        <f t="shared" si="52"/>
        <v>Alone</v>
      </c>
      <c r="O503" s="27" t="str">
        <f t="shared" si="53"/>
        <v>Low Fare</v>
      </c>
      <c r="P503" s="27" t="str">
        <f t="shared" si="54"/>
        <v>Third Class</v>
      </c>
      <c r="Q503" s="27">
        <f t="shared" si="55"/>
        <v>2</v>
      </c>
    </row>
    <row r="504" spans="1:17" x14ac:dyDescent="0.3">
      <c r="A504" s="15">
        <v>503</v>
      </c>
      <c r="B504" s="15">
        <v>0</v>
      </c>
      <c r="C504" s="15">
        <v>3</v>
      </c>
      <c r="D504" s="8" t="s">
        <v>935</v>
      </c>
      <c r="E504" s="8" t="s">
        <v>14</v>
      </c>
      <c r="F504" s="24">
        <v>26</v>
      </c>
      <c r="G504" s="15">
        <v>0</v>
      </c>
      <c r="H504" s="15">
        <v>0</v>
      </c>
      <c r="I504" s="8" t="s">
        <v>936</v>
      </c>
      <c r="J504" s="20">
        <v>7.6292</v>
      </c>
      <c r="K504" s="27" t="str">
        <f t="shared" si="49"/>
        <v>Died</v>
      </c>
      <c r="L504" s="27" t="str">
        <f t="shared" si="50"/>
        <v>Young Adult</v>
      </c>
      <c r="M504" s="28">
        <f t="shared" si="51"/>
        <v>1</v>
      </c>
      <c r="N504" s="27" t="str">
        <f t="shared" si="52"/>
        <v>Alone</v>
      </c>
      <c r="O504" s="27" t="str">
        <f t="shared" si="53"/>
        <v>Low Fare</v>
      </c>
      <c r="P504" s="27" t="str">
        <f t="shared" si="54"/>
        <v>Third Class</v>
      </c>
      <c r="Q504" s="27">
        <f t="shared" si="55"/>
        <v>2</v>
      </c>
    </row>
    <row r="505" spans="1:17" x14ac:dyDescent="0.3">
      <c r="A505" s="16">
        <v>504</v>
      </c>
      <c r="B505" s="16">
        <v>0</v>
      </c>
      <c r="C505" s="16">
        <v>3</v>
      </c>
      <c r="D505" s="11" t="s">
        <v>937</v>
      </c>
      <c r="E505" s="11" t="s">
        <v>14</v>
      </c>
      <c r="F505" s="25">
        <v>37</v>
      </c>
      <c r="G505" s="16">
        <v>0</v>
      </c>
      <c r="H505" s="16">
        <v>0</v>
      </c>
      <c r="I505" s="11" t="s">
        <v>938</v>
      </c>
      <c r="J505" s="21">
        <v>9.5875000000000004</v>
      </c>
      <c r="K505" s="27" t="str">
        <f t="shared" si="49"/>
        <v>Died</v>
      </c>
      <c r="L505" s="27" t="str">
        <f t="shared" si="50"/>
        <v>Adult</v>
      </c>
      <c r="M505" s="28">
        <f t="shared" si="51"/>
        <v>1</v>
      </c>
      <c r="N505" s="27" t="str">
        <f t="shared" si="52"/>
        <v>Alone</v>
      </c>
      <c r="O505" s="27" t="str">
        <f t="shared" si="53"/>
        <v>Low Fare</v>
      </c>
      <c r="P505" s="27" t="str">
        <f t="shared" si="54"/>
        <v>Third Class</v>
      </c>
      <c r="Q505" s="27">
        <f t="shared" si="55"/>
        <v>2</v>
      </c>
    </row>
    <row r="506" spans="1:17" x14ac:dyDescent="0.3">
      <c r="A506" s="15">
        <v>505</v>
      </c>
      <c r="B506" s="15">
        <v>1</v>
      </c>
      <c r="C506" s="15">
        <v>1</v>
      </c>
      <c r="D506" s="8" t="s">
        <v>939</v>
      </c>
      <c r="E506" s="8" t="s">
        <v>14</v>
      </c>
      <c r="F506" s="24">
        <v>16</v>
      </c>
      <c r="G506" s="15">
        <v>0</v>
      </c>
      <c r="H506" s="15">
        <v>0</v>
      </c>
      <c r="I506" s="8" t="s">
        <v>500</v>
      </c>
      <c r="J506" s="20">
        <v>86.5</v>
      </c>
      <c r="K506" s="27" t="str">
        <f t="shared" si="49"/>
        <v>Survived</v>
      </c>
      <c r="L506" s="27" t="str">
        <f t="shared" si="50"/>
        <v>Child</v>
      </c>
      <c r="M506" s="28">
        <f t="shared" si="51"/>
        <v>1</v>
      </c>
      <c r="N506" s="27" t="str">
        <f t="shared" si="52"/>
        <v>Alone</v>
      </c>
      <c r="O506" s="27" t="str">
        <f t="shared" si="53"/>
        <v>Medium Fare</v>
      </c>
      <c r="P506" s="27" t="str">
        <f t="shared" si="54"/>
        <v>First Class</v>
      </c>
      <c r="Q506" s="27">
        <f t="shared" si="55"/>
        <v>2</v>
      </c>
    </row>
    <row r="507" spans="1:17" x14ac:dyDescent="0.3">
      <c r="A507" s="16">
        <v>506</v>
      </c>
      <c r="B507" s="16">
        <v>0</v>
      </c>
      <c r="C507" s="16">
        <v>1</v>
      </c>
      <c r="D507" s="11" t="s">
        <v>940</v>
      </c>
      <c r="E507" s="11" t="s">
        <v>11</v>
      </c>
      <c r="F507" s="25">
        <v>18</v>
      </c>
      <c r="G507" s="16">
        <v>1</v>
      </c>
      <c r="H507" s="16">
        <v>0</v>
      </c>
      <c r="I507" s="11" t="s">
        <v>593</v>
      </c>
      <c r="J507" s="21">
        <v>108.9</v>
      </c>
      <c r="K507" s="27" t="str">
        <f t="shared" si="49"/>
        <v>Died</v>
      </c>
      <c r="L507" s="27" t="str">
        <f t="shared" si="50"/>
        <v>Young Adult</v>
      </c>
      <c r="M507" s="28">
        <f t="shared" si="51"/>
        <v>2</v>
      </c>
      <c r="N507" s="27" t="str">
        <f t="shared" si="52"/>
        <v>Small Family</v>
      </c>
      <c r="O507" s="27" t="str">
        <f t="shared" si="53"/>
        <v>High Fare</v>
      </c>
      <c r="P507" s="27" t="str">
        <f t="shared" si="54"/>
        <v>First Class</v>
      </c>
      <c r="Q507" s="27">
        <f t="shared" si="55"/>
        <v>1</v>
      </c>
    </row>
    <row r="508" spans="1:17" x14ac:dyDescent="0.3">
      <c r="A508" s="15">
        <v>507</v>
      </c>
      <c r="B508" s="15">
        <v>1</v>
      </c>
      <c r="C508" s="15">
        <v>2</v>
      </c>
      <c r="D508" s="8" t="s">
        <v>941</v>
      </c>
      <c r="E508" s="8" t="s">
        <v>14</v>
      </c>
      <c r="F508" s="24">
        <v>33</v>
      </c>
      <c r="G508" s="15">
        <v>0</v>
      </c>
      <c r="H508" s="15">
        <v>2</v>
      </c>
      <c r="I508" s="8" t="s">
        <v>942</v>
      </c>
      <c r="J508" s="20">
        <v>26</v>
      </c>
      <c r="K508" s="27" t="str">
        <f t="shared" si="49"/>
        <v>Survived</v>
      </c>
      <c r="L508" s="27" t="str">
        <f t="shared" si="50"/>
        <v>Young Adult</v>
      </c>
      <c r="M508" s="28">
        <f t="shared" si="51"/>
        <v>3</v>
      </c>
      <c r="N508" s="27" t="str">
        <f t="shared" si="52"/>
        <v>Small Family</v>
      </c>
      <c r="O508" s="27" t="str">
        <f t="shared" si="53"/>
        <v>Medium Fare</v>
      </c>
      <c r="P508" s="27" t="str">
        <f t="shared" si="54"/>
        <v>Second Class</v>
      </c>
      <c r="Q508" s="27">
        <f t="shared" si="55"/>
        <v>2</v>
      </c>
    </row>
    <row r="509" spans="1:17" x14ac:dyDescent="0.3">
      <c r="A509" s="16">
        <v>508</v>
      </c>
      <c r="B509" s="16">
        <v>1</v>
      </c>
      <c r="C509" s="16">
        <v>1</v>
      </c>
      <c r="D509" s="11" t="s">
        <v>943</v>
      </c>
      <c r="E509" s="11" t="s">
        <v>11</v>
      </c>
      <c r="F509" s="25">
        <v>26</v>
      </c>
      <c r="G509" s="16">
        <v>0</v>
      </c>
      <c r="H509" s="16">
        <v>0</v>
      </c>
      <c r="I509" s="11" t="s">
        <v>944</v>
      </c>
      <c r="J509" s="21">
        <v>26.55</v>
      </c>
      <c r="K509" s="27" t="str">
        <f t="shared" si="49"/>
        <v>Survived</v>
      </c>
      <c r="L509" s="27" t="str">
        <f t="shared" si="50"/>
        <v>Young Adult</v>
      </c>
      <c r="M509" s="28">
        <f t="shared" si="51"/>
        <v>1</v>
      </c>
      <c r="N509" s="27" t="str">
        <f t="shared" si="52"/>
        <v>Alone</v>
      </c>
      <c r="O509" s="27" t="str">
        <f t="shared" si="53"/>
        <v>Medium Fare</v>
      </c>
      <c r="P509" s="27" t="str">
        <f t="shared" si="54"/>
        <v>First Class</v>
      </c>
      <c r="Q509" s="27">
        <f t="shared" si="55"/>
        <v>1</v>
      </c>
    </row>
    <row r="510" spans="1:17" x14ac:dyDescent="0.3">
      <c r="A510" s="15">
        <v>509</v>
      </c>
      <c r="B510" s="15">
        <v>0</v>
      </c>
      <c r="C510" s="15">
        <v>3</v>
      </c>
      <c r="D510" s="8" t="s">
        <v>945</v>
      </c>
      <c r="E510" s="8" t="s">
        <v>11</v>
      </c>
      <c r="F510" s="24">
        <v>28</v>
      </c>
      <c r="G510" s="15">
        <v>0</v>
      </c>
      <c r="H510" s="15">
        <v>0</v>
      </c>
      <c r="I510" s="8" t="s">
        <v>946</v>
      </c>
      <c r="J510" s="20">
        <v>22.524999999999999</v>
      </c>
      <c r="K510" s="27" t="str">
        <f t="shared" si="49"/>
        <v>Died</v>
      </c>
      <c r="L510" s="27" t="str">
        <f t="shared" si="50"/>
        <v>Young Adult</v>
      </c>
      <c r="M510" s="28">
        <f t="shared" si="51"/>
        <v>1</v>
      </c>
      <c r="N510" s="27" t="str">
        <f t="shared" si="52"/>
        <v>Alone</v>
      </c>
      <c r="O510" s="27" t="str">
        <f t="shared" si="53"/>
        <v>Low Fare</v>
      </c>
      <c r="P510" s="27" t="str">
        <f t="shared" si="54"/>
        <v>Third Class</v>
      </c>
      <c r="Q510" s="27">
        <f t="shared" si="55"/>
        <v>1</v>
      </c>
    </row>
    <row r="511" spans="1:17" x14ac:dyDescent="0.3">
      <c r="A511" s="16">
        <v>510</v>
      </c>
      <c r="B511" s="16">
        <v>1</v>
      </c>
      <c r="C511" s="16">
        <v>3</v>
      </c>
      <c r="D511" s="11" t="s">
        <v>947</v>
      </c>
      <c r="E511" s="11" t="s">
        <v>11</v>
      </c>
      <c r="F511" s="25">
        <v>26</v>
      </c>
      <c r="G511" s="16">
        <v>0</v>
      </c>
      <c r="H511" s="16">
        <v>0</v>
      </c>
      <c r="I511" s="11" t="s">
        <v>159</v>
      </c>
      <c r="J511" s="21">
        <v>56.495800000000003</v>
      </c>
      <c r="K511" s="27" t="str">
        <f t="shared" si="49"/>
        <v>Survived</v>
      </c>
      <c r="L511" s="27" t="str">
        <f t="shared" si="50"/>
        <v>Young Adult</v>
      </c>
      <c r="M511" s="28">
        <f t="shared" si="51"/>
        <v>1</v>
      </c>
      <c r="N511" s="27" t="str">
        <f t="shared" si="52"/>
        <v>Alone</v>
      </c>
      <c r="O511" s="27" t="str">
        <f t="shared" si="53"/>
        <v>Medium Fare</v>
      </c>
      <c r="P511" s="27" t="str">
        <f t="shared" si="54"/>
        <v>Third Class</v>
      </c>
      <c r="Q511" s="27">
        <f t="shared" si="55"/>
        <v>1</v>
      </c>
    </row>
    <row r="512" spans="1:17" x14ac:dyDescent="0.3">
      <c r="A512" s="15">
        <v>511</v>
      </c>
      <c r="B512" s="15">
        <v>1</v>
      </c>
      <c r="C512" s="15">
        <v>3</v>
      </c>
      <c r="D512" s="8" t="s">
        <v>948</v>
      </c>
      <c r="E512" s="8" t="s">
        <v>11</v>
      </c>
      <c r="F512" s="24">
        <v>29</v>
      </c>
      <c r="G512" s="15">
        <v>0</v>
      </c>
      <c r="H512" s="15">
        <v>0</v>
      </c>
      <c r="I512" s="8" t="s">
        <v>949</v>
      </c>
      <c r="J512" s="20">
        <v>7.75</v>
      </c>
      <c r="K512" s="27" t="str">
        <f t="shared" si="49"/>
        <v>Survived</v>
      </c>
      <c r="L512" s="27" t="str">
        <f t="shared" si="50"/>
        <v>Young Adult</v>
      </c>
      <c r="M512" s="28">
        <f t="shared" si="51"/>
        <v>1</v>
      </c>
      <c r="N512" s="27" t="str">
        <f t="shared" si="52"/>
        <v>Alone</v>
      </c>
      <c r="O512" s="27" t="str">
        <f t="shared" si="53"/>
        <v>Low Fare</v>
      </c>
      <c r="P512" s="27" t="str">
        <f t="shared" si="54"/>
        <v>Third Class</v>
      </c>
      <c r="Q512" s="27">
        <f t="shared" si="55"/>
        <v>1</v>
      </c>
    </row>
    <row r="513" spans="1:17" x14ac:dyDescent="0.3">
      <c r="A513" s="16">
        <v>512</v>
      </c>
      <c r="B513" s="16">
        <v>0</v>
      </c>
      <c r="C513" s="16">
        <v>3</v>
      </c>
      <c r="D513" s="11" t="s">
        <v>950</v>
      </c>
      <c r="E513" s="11" t="s">
        <v>11</v>
      </c>
      <c r="F513" s="25">
        <v>26</v>
      </c>
      <c r="G513" s="16">
        <v>0</v>
      </c>
      <c r="H513" s="16">
        <v>0</v>
      </c>
      <c r="I513" s="11" t="s">
        <v>951</v>
      </c>
      <c r="J513" s="21">
        <v>8.0500000000000007</v>
      </c>
      <c r="K513" s="27" t="str">
        <f t="shared" si="49"/>
        <v>Died</v>
      </c>
      <c r="L513" s="27" t="str">
        <f t="shared" si="50"/>
        <v>Young Adult</v>
      </c>
      <c r="M513" s="28">
        <f t="shared" si="51"/>
        <v>1</v>
      </c>
      <c r="N513" s="27" t="str">
        <f t="shared" si="52"/>
        <v>Alone</v>
      </c>
      <c r="O513" s="27" t="str">
        <f t="shared" si="53"/>
        <v>Low Fare</v>
      </c>
      <c r="P513" s="27" t="str">
        <f t="shared" si="54"/>
        <v>Third Class</v>
      </c>
      <c r="Q513" s="27">
        <f t="shared" si="55"/>
        <v>1</v>
      </c>
    </row>
    <row r="514" spans="1:17" x14ac:dyDescent="0.3">
      <c r="A514" s="15">
        <v>513</v>
      </c>
      <c r="B514" s="15">
        <v>1</v>
      </c>
      <c r="C514" s="15">
        <v>1</v>
      </c>
      <c r="D514" s="8" t="s">
        <v>952</v>
      </c>
      <c r="E514" s="8" t="s">
        <v>11</v>
      </c>
      <c r="F514" s="24">
        <v>36</v>
      </c>
      <c r="G514" s="15">
        <v>0</v>
      </c>
      <c r="H514" s="15">
        <v>0</v>
      </c>
      <c r="I514" s="8" t="s">
        <v>953</v>
      </c>
      <c r="J514" s="20">
        <v>26.287500000000001</v>
      </c>
      <c r="K514" s="27" t="str">
        <f t="shared" ref="K514:K577" si="56">IF(B514=1, "Survived", "Died")</f>
        <v>Survived</v>
      </c>
      <c r="L514" s="27" t="str">
        <f t="shared" ref="L514:L577" si="57">IF(F514&lt;18, "Child", IF(F514&lt;35, "Young Adult", IF(F514&lt;60, "Adult", "Senior")))</f>
        <v>Adult</v>
      </c>
      <c r="M514" s="28">
        <f t="shared" ref="M514:M577" si="58">G514+H514+1</f>
        <v>1</v>
      </c>
      <c r="N514" s="27" t="str">
        <f t="shared" ref="N514:N577" si="59">IF(M514=1,"Alone",IF(M514&lt;=4,"Small Family","Large Family"))</f>
        <v>Alone</v>
      </c>
      <c r="O514" s="27" t="str">
        <f t="shared" ref="O514:O577" si="60">IF(J514&lt;25, "Low Fare", IF(J514&lt;=100, "Medium Fare", "High Fare"))</f>
        <v>Medium Fare</v>
      </c>
      <c r="P514" s="27" t="str">
        <f t="shared" ref="P514:P577" si="61">IF(C514=1, "First Class", IF(C514=2, "Second Class", "Third Class"))</f>
        <v>First Class</v>
      </c>
      <c r="Q514" s="27">
        <f t="shared" ref="Q514:Q577" si="62">IF(E514="male", 1, 2)</f>
        <v>1</v>
      </c>
    </row>
    <row r="515" spans="1:17" x14ac:dyDescent="0.3">
      <c r="A515" s="16">
        <v>514</v>
      </c>
      <c r="B515" s="16">
        <v>1</v>
      </c>
      <c r="C515" s="16">
        <v>1</v>
      </c>
      <c r="D515" s="11" t="s">
        <v>954</v>
      </c>
      <c r="E515" s="11" t="s">
        <v>14</v>
      </c>
      <c r="F515" s="25">
        <v>54</v>
      </c>
      <c r="G515" s="16">
        <v>1</v>
      </c>
      <c r="H515" s="16">
        <v>0</v>
      </c>
      <c r="I515" s="11" t="s">
        <v>955</v>
      </c>
      <c r="J515" s="21">
        <v>59.4</v>
      </c>
      <c r="K515" s="27" t="str">
        <f t="shared" si="56"/>
        <v>Survived</v>
      </c>
      <c r="L515" s="27" t="str">
        <f t="shared" si="57"/>
        <v>Adult</v>
      </c>
      <c r="M515" s="28">
        <f t="shared" si="58"/>
        <v>2</v>
      </c>
      <c r="N515" s="27" t="str">
        <f t="shared" si="59"/>
        <v>Small Family</v>
      </c>
      <c r="O515" s="27" t="str">
        <f t="shared" si="60"/>
        <v>Medium Fare</v>
      </c>
      <c r="P515" s="27" t="str">
        <f t="shared" si="61"/>
        <v>First Class</v>
      </c>
      <c r="Q515" s="27">
        <f t="shared" si="62"/>
        <v>2</v>
      </c>
    </row>
    <row r="516" spans="1:17" x14ac:dyDescent="0.3">
      <c r="A516" s="15">
        <v>515</v>
      </c>
      <c r="B516" s="15">
        <v>0</v>
      </c>
      <c r="C516" s="15">
        <v>3</v>
      </c>
      <c r="D516" s="8" t="s">
        <v>956</v>
      </c>
      <c r="E516" s="8" t="s">
        <v>11</v>
      </c>
      <c r="F516" s="24">
        <v>24</v>
      </c>
      <c r="G516" s="15">
        <v>0</v>
      </c>
      <c r="H516" s="15">
        <v>0</v>
      </c>
      <c r="I516" s="8" t="s">
        <v>957</v>
      </c>
      <c r="J516" s="20">
        <v>7.4958</v>
      </c>
      <c r="K516" s="27" t="str">
        <f t="shared" si="56"/>
        <v>Died</v>
      </c>
      <c r="L516" s="27" t="str">
        <f t="shared" si="57"/>
        <v>Young Adult</v>
      </c>
      <c r="M516" s="28">
        <f t="shared" si="58"/>
        <v>1</v>
      </c>
      <c r="N516" s="27" t="str">
        <f t="shared" si="59"/>
        <v>Alone</v>
      </c>
      <c r="O516" s="27" t="str">
        <f t="shared" si="60"/>
        <v>Low Fare</v>
      </c>
      <c r="P516" s="27" t="str">
        <f t="shared" si="61"/>
        <v>Third Class</v>
      </c>
      <c r="Q516" s="27">
        <f t="shared" si="62"/>
        <v>1</v>
      </c>
    </row>
    <row r="517" spans="1:17" x14ac:dyDescent="0.3">
      <c r="A517" s="16">
        <v>516</v>
      </c>
      <c r="B517" s="16">
        <v>0</v>
      </c>
      <c r="C517" s="16">
        <v>1</v>
      </c>
      <c r="D517" s="11" t="s">
        <v>958</v>
      </c>
      <c r="E517" s="11" t="s">
        <v>11</v>
      </c>
      <c r="F517" s="25">
        <v>47</v>
      </c>
      <c r="G517" s="16">
        <v>0</v>
      </c>
      <c r="H517" s="16">
        <v>0</v>
      </c>
      <c r="I517" s="11" t="s">
        <v>959</v>
      </c>
      <c r="J517" s="21">
        <v>34.020800000000001</v>
      </c>
      <c r="K517" s="27" t="str">
        <f t="shared" si="56"/>
        <v>Died</v>
      </c>
      <c r="L517" s="27" t="str">
        <f t="shared" si="57"/>
        <v>Adult</v>
      </c>
      <c r="M517" s="28">
        <f t="shared" si="58"/>
        <v>1</v>
      </c>
      <c r="N517" s="27" t="str">
        <f t="shared" si="59"/>
        <v>Alone</v>
      </c>
      <c r="O517" s="27" t="str">
        <f t="shared" si="60"/>
        <v>Medium Fare</v>
      </c>
      <c r="P517" s="27" t="str">
        <f t="shared" si="61"/>
        <v>First Class</v>
      </c>
      <c r="Q517" s="27">
        <f t="shared" si="62"/>
        <v>1</v>
      </c>
    </row>
    <row r="518" spans="1:17" x14ac:dyDescent="0.3">
      <c r="A518" s="15">
        <v>517</v>
      </c>
      <c r="B518" s="15">
        <v>1</v>
      </c>
      <c r="C518" s="15">
        <v>2</v>
      </c>
      <c r="D518" s="8" t="s">
        <v>960</v>
      </c>
      <c r="E518" s="8" t="s">
        <v>14</v>
      </c>
      <c r="F518" s="24">
        <v>34</v>
      </c>
      <c r="G518" s="15">
        <v>0</v>
      </c>
      <c r="H518" s="15">
        <v>0</v>
      </c>
      <c r="I518" s="8" t="s">
        <v>961</v>
      </c>
      <c r="J518" s="20">
        <v>10.5</v>
      </c>
      <c r="K518" s="27" t="str">
        <f t="shared" si="56"/>
        <v>Survived</v>
      </c>
      <c r="L518" s="27" t="str">
        <f t="shared" si="57"/>
        <v>Young Adult</v>
      </c>
      <c r="M518" s="28">
        <f t="shared" si="58"/>
        <v>1</v>
      </c>
      <c r="N518" s="27" t="str">
        <f t="shared" si="59"/>
        <v>Alone</v>
      </c>
      <c r="O518" s="27" t="str">
        <f t="shared" si="60"/>
        <v>Low Fare</v>
      </c>
      <c r="P518" s="27" t="str">
        <f t="shared" si="61"/>
        <v>Second Class</v>
      </c>
      <c r="Q518" s="27">
        <f t="shared" si="62"/>
        <v>2</v>
      </c>
    </row>
    <row r="519" spans="1:17" x14ac:dyDescent="0.3">
      <c r="A519" s="16">
        <v>518</v>
      </c>
      <c r="B519" s="16">
        <v>0</v>
      </c>
      <c r="C519" s="16">
        <v>3</v>
      </c>
      <c r="D519" s="11" t="s">
        <v>962</v>
      </c>
      <c r="E519" s="11" t="s">
        <v>11</v>
      </c>
      <c r="F519" s="25">
        <v>26</v>
      </c>
      <c r="G519" s="16">
        <v>0</v>
      </c>
      <c r="H519" s="16">
        <v>0</v>
      </c>
      <c r="I519" s="11" t="s">
        <v>228</v>
      </c>
      <c r="J519" s="21">
        <v>24.15</v>
      </c>
      <c r="K519" s="27" t="str">
        <f t="shared" si="56"/>
        <v>Died</v>
      </c>
      <c r="L519" s="27" t="str">
        <f t="shared" si="57"/>
        <v>Young Adult</v>
      </c>
      <c r="M519" s="28">
        <f t="shared" si="58"/>
        <v>1</v>
      </c>
      <c r="N519" s="27" t="str">
        <f t="shared" si="59"/>
        <v>Alone</v>
      </c>
      <c r="O519" s="27" t="str">
        <f t="shared" si="60"/>
        <v>Low Fare</v>
      </c>
      <c r="P519" s="27" t="str">
        <f t="shared" si="61"/>
        <v>Third Class</v>
      </c>
      <c r="Q519" s="27">
        <f t="shared" si="62"/>
        <v>1</v>
      </c>
    </row>
    <row r="520" spans="1:17" x14ac:dyDescent="0.3">
      <c r="A520" s="15">
        <v>519</v>
      </c>
      <c r="B520" s="15">
        <v>1</v>
      </c>
      <c r="C520" s="15">
        <v>2</v>
      </c>
      <c r="D520" s="8" t="s">
        <v>963</v>
      </c>
      <c r="E520" s="8" t="s">
        <v>14</v>
      </c>
      <c r="F520" s="24">
        <v>36</v>
      </c>
      <c r="G520" s="15">
        <v>1</v>
      </c>
      <c r="H520" s="15">
        <v>0</v>
      </c>
      <c r="I520" s="8" t="s">
        <v>964</v>
      </c>
      <c r="J520" s="20">
        <v>26</v>
      </c>
      <c r="K520" s="27" t="str">
        <f t="shared" si="56"/>
        <v>Survived</v>
      </c>
      <c r="L520" s="27" t="str">
        <f t="shared" si="57"/>
        <v>Adult</v>
      </c>
      <c r="M520" s="28">
        <f t="shared" si="58"/>
        <v>2</v>
      </c>
      <c r="N520" s="27" t="str">
        <f t="shared" si="59"/>
        <v>Small Family</v>
      </c>
      <c r="O520" s="27" t="str">
        <f t="shared" si="60"/>
        <v>Medium Fare</v>
      </c>
      <c r="P520" s="27" t="str">
        <f t="shared" si="61"/>
        <v>Second Class</v>
      </c>
      <c r="Q520" s="27">
        <f t="shared" si="62"/>
        <v>2</v>
      </c>
    </row>
    <row r="521" spans="1:17" x14ac:dyDescent="0.3">
      <c r="A521" s="16">
        <v>520</v>
      </c>
      <c r="B521" s="16">
        <v>0</v>
      </c>
      <c r="C521" s="16">
        <v>3</v>
      </c>
      <c r="D521" s="11" t="s">
        <v>965</v>
      </c>
      <c r="E521" s="11" t="s">
        <v>11</v>
      </c>
      <c r="F521" s="25">
        <v>32</v>
      </c>
      <c r="G521" s="16">
        <v>0</v>
      </c>
      <c r="H521" s="16">
        <v>0</v>
      </c>
      <c r="I521" s="11" t="s">
        <v>966</v>
      </c>
      <c r="J521" s="21">
        <v>7.8958000000000004</v>
      </c>
      <c r="K521" s="27" t="str">
        <f t="shared" si="56"/>
        <v>Died</v>
      </c>
      <c r="L521" s="27" t="str">
        <f t="shared" si="57"/>
        <v>Young Adult</v>
      </c>
      <c r="M521" s="28">
        <f t="shared" si="58"/>
        <v>1</v>
      </c>
      <c r="N521" s="27" t="str">
        <f t="shared" si="59"/>
        <v>Alone</v>
      </c>
      <c r="O521" s="27" t="str">
        <f t="shared" si="60"/>
        <v>Low Fare</v>
      </c>
      <c r="P521" s="27" t="str">
        <f t="shared" si="61"/>
        <v>Third Class</v>
      </c>
      <c r="Q521" s="27">
        <f t="shared" si="62"/>
        <v>1</v>
      </c>
    </row>
    <row r="522" spans="1:17" x14ac:dyDescent="0.3">
      <c r="A522" s="15">
        <v>521</v>
      </c>
      <c r="B522" s="15">
        <v>1</v>
      </c>
      <c r="C522" s="15">
        <v>1</v>
      </c>
      <c r="D522" s="8" t="s">
        <v>967</v>
      </c>
      <c r="E522" s="8" t="s">
        <v>14</v>
      </c>
      <c r="F522" s="24">
        <v>30</v>
      </c>
      <c r="G522" s="15">
        <v>0</v>
      </c>
      <c r="H522" s="15">
        <v>0</v>
      </c>
      <c r="I522" s="8" t="s">
        <v>968</v>
      </c>
      <c r="J522" s="20">
        <v>93.5</v>
      </c>
      <c r="K522" s="27" t="str">
        <f t="shared" si="56"/>
        <v>Survived</v>
      </c>
      <c r="L522" s="27" t="str">
        <f t="shared" si="57"/>
        <v>Young Adult</v>
      </c>
      <c r="M522" s="28">
        <f t="shared" si="58"/>
        <v>1</v>
      </c>
      <c r="N522" s="27" t="str">
        <f t="shared" si="59"/>
        <v>Alone</v>
      </c>
      <c r="O522" s="27" t="str">
        <f t="shared" si="60"/>
        <v>Medium Fare</v>
      </c>
      <c r="P522" s="27" t="str">
        <f t="shared" si="61"/>
        <v>First Class</v>
      </c>
      <c r="Q522" s="27">
        <f t="shared" si="62"/>
        <v>2</v>
      </c>
    </row>
    <row r="523" spans="1:17" x14ac:dyDescent="0.3">
      <c r="A523" s="16">
        <v>522</v>
      </c>
      <c r="B523" s="16">
        <v>0</v>
      </c>
      <c r="C523" s="16">
        <v>3</v>
      </c>
      <c r="D523" s="11" t="s">
        <v>969</v>
      </c>
      <c r="E523" s="11" t="s">
        <v>11</v>
      </c>
      <c r="F523" s="25">
        <v>22</v>
      </c>
      <c r="G523" s="16">
        <v>0</v>
      </c>
      <c r="H523" s="16">
        <v>0</v>
      </c>
      <c r="I523" s="11" t="s">
        <v>970</v>
      </c>
      <c r="J523" s="21">
        <v>7.8958000000000004</v>
      </c>
      <c r="K523" s="27" t="str">
        <f t="shared" si="56"/>
        <v>Died</v>
      </c>
      <c r="L523" s="27" t="str">
        <f t="shared" si="57"/>
        <v>Young Adult</v>
      </c>
      <c r="M523" s="28">
        <f t="shared" si="58"/>
        <v>1</v>
      </c>
      <c r="N523" s="27" t="str">
        <f t="shared" si="59"/>
        <v>Alone</v>
      </c>
      <c r="O523" s="27" t="str">
        <f t="shared" si="60"/>
        <v>Low Fare</v>
      </c>
      <c r="P523" s="27" t="str">
        <f t="shared" si="61"/>
        <v>Third Class</v>
      </c>
      <c r="Q523" s="27">
        <f t="shared" si="62"/>
        <v>1</v>
      </c>
    </row>
    <row r="524" spans="1:17" x14ac:dyDescent="0.3">
      <c r="A524" s="15">
        <v>523</v>
      </c>
      <c r="B524" s="15">
        <v>0</v>
      </c>
      <c r="C524" s="15">
        <v>3</v>
      </c>
      <c r="D524" s="8" t="s">
        <v>971</v>
      </c>
      <c r="E524" s="8" t="s">
        <v>11</v>
      </c>
      <c r="F524" s="24">
        <v>26</v>
      </c>
      <c r="G524" s="15">
        <v>0</v>
      </c>
      <c r="H524" s="15">
        <v>0</v>
      </c>
      <c r="I524" s="8" t="s">
        <v>972</v>
      </c>
      <c r="J524" s="20">
        <v>7.2249999999999996</v>
      </c>
      <c r="K524" s="27" t="str">
        <f t="shared" si="56"/>
        <v>Died</v>
      </c>
      <c r="L524" s="27" t="str">
        <f t="shared" si="57"/>
        <v>Young Adult</v>
      </c>
      <c r="M524" s="28">
        <f t="shared" si="58"/>
        <v>1</v>
      </c>
      <c r="N524" s="27" t="str">
        <f t="shared" si="59"/>
        <v>Alone</v>
      </c>
      <c r="O524" s="27" t="str">
        <f t="shared" si="60"/>
        <v>Low Fare</v>
      </c>
      <c r="P524" s="27" t="str">
        <f t="shared" si="61"/>
        <v>Third Class</v>
      </c>
      <c r="Q524" s="27">
        <f t="shared" si="62"/>
        <v>1</v>
      </c>
    </row>
    <row r="525" spans="1:17" x14ac:dyDescent="0.3">
      <c r="A525" s="16">
        <v>524</v>
      </c>
      <c r="B525" s="16">
        <v>1</v>
      </c>
      <c r="C525" s="16">
        <v>1</v>
      </c>
      <c r="D525" s="11" t="s">
        <v>973</v>
      </c>
      <c r="E525" s="11" t="s">
        <v>14</v>
      </c>
      <c r="F525" s="25">
        <v>44</v>
      </c>
      <c r="G525" s="16">
        <v>0</v>
      </c>
      <c r="H525" s="16">
        <v>1</v>
      </c>
      <c r="I525" s="11" t="s">
        <v>632</v>
      </c>
      <c r="J525" s="21">
        <v>57.979199999999999</v>
      </c>
      <c r="K525" s="27" t="str">
        <f t="shared" si="56"/>
        <v>Survived</v>
      </c>
      <c r="L525" s="27" t="str">
        <f t="shared" si="57"/>
        <v>Adult</v>
      </c>
      <c r="M525" s="28">
        <f t="shared" si="58"/>
        <v>2</v>
      </c>
      <c r="N525" s="27" t="str">
        <f t="shared" si="59"/>
        <v>Small Family</v>
      </c>
      <c r="O525" s="27" t="str">
        <f t="shared" si="60"/>
        <v>Medium Fare</v>
      </c>
      <c r="P525" s="27" t="str">
        <f t="shared" si="61"/>
        <v>First Class</v>
      </c>
      <c r="Q525" s="27">
        <f t="shared" si="62"/>
        <v>2</v>
      </c>
    </row>
    <row r="526" spans="1:17" x14ac:dyDescent="0.3">
      <c r="A526" s="15">
        <v>525</v>
      </c>
      <c r="B526" s="15">
        <v>0</v>
      </c>
      <c r="C526" s="15">
        <v>3</v>
      </c>
      <c r="D526" s="8" t="s">
        <v>974</v>
      </c>
      <c r="E526" s="8" t="s">
        <v>11</v>
      </c>
      <c r="F526" s="24">
        <v>26</v>
      </c>
      <c r="G526" s="15">
        <v>0</v>
      </c>
      <c r="H526" s="15">
        <v>0</v>
      </c>
      <c r="I526" s="8" t="s">
        <v>975</v>
      </c>
      <c r="J526" s="20">
        <v>7.2291999999999996</v>
      </c>
      <c r="K526" s="27" t="str">
        <f t="shared" si="56"/>
        <v>Died</v>
      </c>
      <c r="L526" s="27" t="str">
        <f t="shared" si="57"/>
        <v>Young Adult</v>
      </c>
      <c r="M526" s="28">
        <f t="shared" si="58"/>
        <v>1</v>
      </c>
      <c r="N526" s="27" t="str">
        <f t="shared" si="59"/>
        <v>Alone</v>
      </c>
      <c r="O526" s="27" t="str">
        <f t="shared" si="60"/>
        <v>Low Fare</v>
      </c>
      <c r="P526" s="27" t="str">
        <f t="shared" si="61"/>
        <v>Third Class</v>
      </c>
      <c r="Q526" s="27">
        <f t="shared" si="62"/>
        <v>1</v>
      </c>
    </row>
    <row r="527" spans="1:17" x14ac:dyDescent="0.3">
      <c r="A527" s="16">
        <v>526</v>
      </c>
      <c r="B527" s="16">
        <v>0</v>
      </c>
      <c r="C527" s="16">
        <v>3</v>
      </c>
      <c r="D527" s="11" t="s">
        <v>976</v>
      </c>
      <c r="E527" s="11" t="s">
        <v>11</v>
      </c>
      <c r="F527" s="25">
        <v>40.5</v>
      </c>
      <c r="G527" s="16">
        <v>0</v>
      </c>
      <c r="H527" s="16">
        <v>0</v>
      </c>
      <c r="I527" s="11" t="s">
        <v>977</v>
      </c>
      <c r="J527" s="21">
        <v>7.75</v>
      </c>
      <c r="K527" s="27" t="str">
        <f t="shared" si="56"/>
        <v>Died</v>
      </c>
      <c r="L527" s="27" t="str">
        <f t="shared" si="57"/>
        <v>Adult</v>
      </c>
      <c r="M527" s="28">
        <f t="shared" si="58"/>
        <v>1</v>
      </c>
      <c r="N527" s="27" t="str">
        <f t="shared" si="59"/>
        <v>Alone</v>
      </c>
      <c r="O527" s="27" t="str">
        <f t="shared" si="60"/>
        <v>Low Fare</v>
      </c>
      <c r="P527" s="27" t="str">
        <f t="shared" si="61"/>
        <v>Third Class</v>
      </c>
      <c r="Q527" s="27">
        <f t="shared" si="62"/>
        <v>1</v>
      </c>
    </row>
    <row r="528" spans="1:17" x14ac:dyDescent="0.3">
      <c r="A528" s="15">
        <v>527</v>
      </c>
      <c r="B528" s="15">
        <v>1</v>
      </c>
      <c r="C528" s="15">
        <v>2</v>
      </c>
      <c r="D528" s="8" t="s">
        <v>978</v>
      </c>
      <c r="E528" s="8" t="s">
        <v>14</v>
      </c>
      <c r="F528" s="24">
        <v>50</v>
      </c>
      <c r="G528" s="15">
        <v>0</v>
      </c>
      <c r="H528" s="15">
        <v>0</v>
      </c>
      <c r="I528" s="8" t="s">
        <v>979</v>
      </c>
      <c r="J528" s="20">
        <v>10.5</v>
      </c>
      <c r="K528" s="27" t="str">
        <f t="shared" si="56"/>
        <v>Survived</v>
      </c>
      <c r="L528" s="27" t="str">
        <f t="shared" si="57"/>
        <v>Adult</v>
      </c>
      <c r="M528" s="28">
        <f t="shared" si="58"/>
        <v>1</v>
      </c>
      <c r="N528" s="27" t="str">
        <f t="shared" si="59"/>
        <v>Alone</v>
      </c>
      <c r="O528" s="27" t="str">
        <f t="shared" si="60"/>
        <v>Low Fare</v>
      </c>
      <c r="P528" s="27" t="str">
        <f t="shared" si="61"/>
        <v>Second Class</v>
      </c>
      <c r="Q528" s="27">
        <f t="shared" si="62"/>
        <v>2</v>
      </c>
    </row>
    <row r="529" spans="1:17" x14ac:dyDescent="0.3">
      <c r="A529" s="16">
        <v>528</v>
      </c>
      <c r="B529" s="16">
        <v>0</v>
      </c>
      <c r="C529" s="16">
        <v>1</v>
      </c>
      <c r="D529" s="11" t="s">
        <v>980</v>
      </c>
      <c r="E529" s="11" t="s">
        <v>11</v>
      </c>
      <c r="F529" s="25">
        <v>26</v>
      </c>
      <c r="G529" s="16">
        <v>0</v>
      </c>
      <c r="H529" s="16">
        <v>0</v>
      </c>
      <c r="I529" s="11" t="s">
        <v>981</v>
      </c>
      <c r="J529" s="21">
        <v>221.7792</v>
      </c>
      <c r="K529" s="27" t="str">
        <f t="shared" si="56"/>
        <v>Died</v>
      </c>
      <c r="L529" s="27" t="str">
        <f t="shared" si="57"/>
        <v>Young Adult</v>
      </c>
      <c r="M529" s="28">
        <f t="shared" si="58"/>
        <v>1</v>
      </c>
      <c r="N529" s="27" t="str">
        <f t="shared" si="59"/>
        <v>Alone</v>
      </c>
      <c r="O529" s="27" t="str">
        <f t="shared" si="60"/>
        <v>High Fare</v>
      </c>
      <c r="P529" s="27" t="str">
        <f t="shared" si="61"/>
        <v>First Class</v>
      </c>
      <c r="Q529" s="27">
        <f t="shared" si="62"/>
        <v>1</v>
      </c>
    </row>
    <row r="530" spans="1:17" x14ac:dyDescent="0.3">
      <c r="A530" s="15">
        <v>529</v>
      </c>
      <c r="B530" s="15">
        <v>0</v>
      </c>
      <c r="C530" s="15">
        <v>3</v>
      </c>
      <c r="D530" s="8" t="s">
        <v>982</v>
      </c>
      <c r="E530" s="8" t="s">
        <v>11</v>
      </c>
      <c r="F530" s="24">
        <v>39</v>
      </c>
      <c r="G530" s="15">
        <v>0</v>
      </c>
      <c r="H530" s="15">
        <v>0</v>
      </c>
      <c r="I530" s="8" t="s">
        <v>983</v>
      </c>
      <c r="J530" s="20">
        <v>7.9249999999999998</v>
      </c>
      <c r="K530" s="27" t="str">
        <f t="shared" si="56"/>
        <v>Died</v>
      </c>
      <c r="L530" s="27" t="str">
        <f t="shared" si="57"/>
        <v>Adult</v>
      </c>
      <c r="M530" s="28">
        <f t="shared" si="58"/>
        <v>1</v>
      </c>
      <c r="N530" s="27" t="str">
        <f t="shared" si="59"/>
        <v>Alone</v>
      </c>
      <c r="O530" s="27" t="str">
        <f t="shared" si="60"/>
        <v>Low Fare</v>
      </c>
      <c r="P530" s="27" t="str">
        <f t="shared" si="61"/>
        <v>Third Class</v>
      </c>
      <c r="Q530" s="27">
        <f t="shared" si="62"/>
        <v>1</v>
      </c>
    </row>
    <row r="531" spans="1:17" x14ac:dyDescent="0.3">
      <c r="A531" s="16">
        <v>530</v>
      </c>
      <c r="B531" s="16">
        <v>0</v>
      </c>
      <c r="C531" s="16">
        <v>2</v>
      </c>
      <c r="D531" s="11" t="s">
        <v>984</v>
      </c>
      <c r="E531" s="11" t="s">
        <v>11</v>
      </c>
      <c r="F531" s="25">
        <v>23</v>
      </c>
      <c r="G531" s="16">
        <v>2</v>
      </c>
      <c r="H531" s="16">
        <v>1</v>
      </c>
      <c r="I531" s="11" t="s">
        <v>985</v>
      </c>
      <c r="J531" s="21">
        <v>11.5</v>
      </c>
      <c r="K531" s="27" t="str">
        <f t="shared" si="56"/>
        <v>Died</v>
      </c>
      <c r="L531" s="27" t="str">
        <f t="shared" si="57"/>
        <v>Young Adult</v>
      </c>
      <c r="M531" s="28">
        <f t="shared" si="58"/>
        <v>4</v>
      </c>
      <c r="N531" s="27" t="str">
        <f t="shared" si="59"/>
        <v>Small Family</v>
      </c>
      <c r="O531" s="27" t="str">
        <f t="shared" si="60"/>
        <v>Low Fare</v>
      </c>
      <c r="P531" s="27" t="str">
        <f t="shared" si="61"/>
        <v>Second Class</v>
      </c>
      <c r="Q531" s="27">
        <f t="shared" si="62"/>
        <v>1</v>
      </c>
    </row>
    <row r="532" spans="1:17" x14ac:dyDescent="0.3">
      <c r="A532" s="15">
        <v>531</v>
      </c>
      <c r="B532" s="15">
        <v>1</v>
      </c>
      <c r="C532" s="15">
        <v>2</v>
      </c>
      <c r="D532" s="8" t="s">
        <v>986</v>
      </c>
      <c r="E532" s="8" t="s">
        <v>14</v>
      </c>
      <c r="F532" s="24">
        <v>2</v>
      </c>
      <c r="G532" s="15">
        <v>1</v>
      </c>
      <c r="H532" s="15">
        <v>1</v>
      </c>
      <c r="I532" s="8" t="s">
        <v>942</v>
      </c>
      <c r="J532" s="20">
        <v>26</v>
      </c>
      <c r="K532" s="27" t="str">
        <f t="shared" si="56"/>
        <v>Survived</v>
      </c>
      <c r="L532" s="27" t="str">
        <f t="shared" si="57"/>
        <v>Child</v>
      </c>
      <c r="M532" s="28">
        <f t="shared" si="58"/>
        <v>3</v>
      </c>
      <c r="N532" s="27" t="str">
        <f t="shared" si="59"/>
        <v>Small Family</v>
      </c>
      <c r="O532" s="27" t="str">
        <f t="shared" si="60"/>
        <v>Medium Fare</v>
      </c>
      <c r="P532" s="27" t="str">
        <f t="shared" si="61"/>
        <v>Second Class</v>
      </c>
      <c r="Q532" s="27">
        <f t="shared" si="62"/>
        <v>2</v>
      </c>
    </row>
    <row r="533" spans="1:17" x14ac:dyDescent="0.3">
      <c r="A533" s="16">
        <v>532</v>
      </c>
      <c r="B533" s="16">
        <v>0</v>
      </c>
      <c r="C533" s="16">
        <v>3</v>
      </c>
      <c r="D533" s="11" t="s">
        <v>987</v>
      </c>
      <c r="E533" s="11" t="s">
        <v>11</v>
      </c>
      <c r="F533" s="25">
        <v>26</v>
      </c>
      <c r="G533" s="16">
        <v>0</v>
      </c>
      <c r="H533" s="16">
        <v>0</v>
      </c>
      <c r="I533" s="11" t="s">
        <v>988</v>
      </c>
      <c r="J533" s="21">
        <v>7.2291999999999996</v>
      </c>
      <c r="K533" s="27" t="str">
        <f t="shared" si="56"/>
        <v>Died</v>
      </c>
      <c r="L533" s="27" t="str">
        <f t="shared" si="57"/>
        <v>Young Adult</v>
      </c>
      <c r="M533" s="28">
        <f t="shared" si="58"/>
        <v>1</v>
      </c>
      <c r="N533" s="27" t="str">
        <f t="shared" si="59"/>
        <v>Alone</v>
      </c>
      <c r="O533" s="27" t="str">
        <f t="shared" si="60"/>
        <v>Low Fare</v>
      </c>
      <c r="P533" s="27" t="str">
        <f t="shared" si="61"/>
        <v>Third Class</v>
      </c>
      <c r="Q533" s="27">
        <f t="shared" si="62"/>
        <v>1</v>
      </c>
    </row>
    <row r="534" spans="1:17" x14ac:dyDescent="0.3">
      <c r="A534" s="15">
        <v>533</v>
      </c>
      <c r="B534" s="15">
        <v>0</v>
      </c>
      <c r="C534" s="15">
        <v>3</v>
      </c>
      <c r="D534" s="8" t="s">
        <v>989</v>
      </c>
      <c r="E534" s="8" t="s">
        <v>11</v>
      </c>
      <c r="F534" s="24">
        <v>17</v>
      </c>
      <c r="G534" s="15">
        <v>1</v>
      </c>
      <c r="H534" s="15">
        <v>1</v>
      </c>
      <c r="I534" s="8" t="s">
        <v>990</v>
      </c>
      <c r="J534" s="20">
        <v>7.2291999999999996</v>
      </c>
      <c r="K534" s="27" t="str">
        <f t="shared" si="56"/>
        <v>Died</v>
      </c>
      <c r="L534" s="27" t="str">
        <f t="shared" si="57"/>
        <v>Child</v>
      </c>
      <c r="M534" s="28">
        <f t="shared" si="58"/>
        <v>3</v>
      </c>
      <c r="N534" s="27" t="str">
        <f t="shared" si="59"/>
        <v>Small Family</v>
      </c>
      <c r="O534" s="27" t="str">
        <f t="shared" si="60"/>
        <v>Low Fare</v>
      </c>
      <c r="P534" s="27" t="str">
        <f t="shared" si="61"/>
        <v>Third Class</v>
      </c>
      <c r="Q534" s="27">
        <f t="shared" si="62"/>
        <v>1</v>
      </c>
    </row>
    <row r="535" spans="1:17" x14ac:dyDescent="0.3">
      <c r="A535" s="16">
        <v>534</v>
      </c>
      <c r="B535" s="16">
        <v>1</v>
      </c>
      <c r="C535" s="16">
        <v>3</v>
      </c>
      <c r="D535" s="11" t="s">
        <v>991</v>
      </c>
      <c r="E535" s="11" t="s">
        <v>14</v>
      </c>
      <c r="F535" s="25">
        <v>26</v>
      </c>
      <c r="G535" s="16">
        <v>0</v>
      </c>
      <c r="H535" s="16">
        <v>2</v>
      </c>
      <c r="I535" s="11" t="s">
        <v>260</v>
      </c>
      <c r="J535" s="21">
        <v>22.3583</v>
      </c>
      <c r="K535" s="27" t="str">
        <f t="shared" si="56"/>
        <v>Survived</v>
      </c>
      <c r="L535" s="27" t="str">
        <f t="shared" si="57"/>
        <v>Young Adult</v>
      </c>
      <c r="M535" s="28">
        <f t="shared" si="58"/>
        <v>3</v>
      </c>
      <c r="N535" s="27" t="str">
        <f t="shared" si="59"/>
        <v>Small Family</v>
      </c>
      <c r="O535" s="27" t="str">
        <f t="shared" si="60"/>
        <v>Low Fare</v>
      </c>
      <c r="P535" s="27" t="str">
        <f t="shared" si="61"/>
        <v>Third Class</v>
      </c>
      <c r="Q535" s="27">
        <f t="shared" si="62"/>
        <v>2</v>
      </c>
    </row>
    <row r="536" spans="1:17" x14ac:dyDescent="0.3">
      <c r="A536" s="15">
        <v>535</v>
      </c>
      <c r="B536" s="15">
        <v>0</v>
      </c>
      <c r="C536" s="15">
        <v>3</v>
      </c>
      <c r="D536" s="8" t="s">
        <v>992</v>
      </c>
      <c r="E536" s="8" t="s">
        <v>14</v>
      </c>
      <c r="F536" s="24">
        <v>30</v>
      </c>
      <c r="G536" s="15">
        <v>0</v>
      </c>
      <c r="H536" s="15">
        <v>0</v>
      </c>
      <c r="I536" s="8" t="s">
        <v>993</v>
      </c>
      <c r="J536" s="20">
        <v>8.6624999999999996</v>
      </c>
      <c r="K536" s="27" t="str">
        <f t="shared" si="56"/>
        <v>Died</v>
      </c>
      <c r="L536" s="27" t="str">
        <f t="shared" si="57"/>
        <v>Young Adult</v>
      </c>
      <c r="M536" s="28">
        <f t="shared" si="58"/>
        <v>1</v>
      </c>
      <c r="N536" s="27" t="str">
        <f t="shared" si="59"/>
        <v>Alone</v>
      </c>
      <c r="O536" s="27" t="str">
        <f t="shared" si="60"/>
        <v>Low Fare</v>
      </c>
      <c r="P536" s="27" t="str">
        <f t="shared" si="61"/>
        <v>Third Class</v>
      </c>
      <c r="Q536" s="27">
        <f t="shared" si="62"/>
        <v>2</v>
      </c>
    </row>
    <row r="537" spans="1:17" x14ac:dyDescent="0.3">
      <c r="A537" s="16">
        <v>536</v>
      </c>
      <c r="B537" s="16">
        <v>1</v>
      </c>
      <c r="C537" s="16">
        <v>2</v>
      </c>
      <c r="D537" s="11" t="s">
        <v>994</v>
      </c>
      <c r="E537" s="11" t="s">
        <v>14</v>
      </c>
      <c r="F537" s="25">
        <v>7</v>
      </c>
      <c r="G537" s="16">
        <v>0</v>
      </c>
      <c r="H537" s="16">
        <v>2</v>
      </c>
      <c r="I537" s="11" t="s">
        <v>607</v>
      </c>
      <c r="J537" s="21">
        <v>26.25</v>
      </c>
      <c r="K537" s="27" t="str">
        <f t="shared" si="56"/>
        <v>Survived</v>
      </c>
      <c r="L537" s="27" t="str">
        <f t="shared" si="57"/>
        <v>Child</v>
      </c>
      <c r="M537" s="28">
        <f t="shared" si="58"/>
        <v>3</v>
      </c>
      <c r="N537" s="27" t="str">
        <f t="shared" si="59"/>
        <v>Small Family</v>
      </c>
      <c r="O537" s="27" t="str">
        <f t="shared" si="60"/>
        <v>Medium Fare</v>
      </c>
      <c r="P537" s="27" t="str">
        <f t="shared" si="61"/>
        <v>Second Class</v>
      </c>
      <c r="Q537" s="27">
        <f t="shared" si="62"/>
        <v>2</v>
      </c>
    </row>
    <row r="538" spans="1:17" x14ac:dyDescent="0.3">
      <c r="A538" s="15">
        <v>537</v>
      </c>
      <c r="B538" s="15">
        <v>0</v>
      </c>
      <c r="C538" s="15">
        <v>1</v>
      </c>
      <c r="D538" s="8" t="s">
        <v>995</v>
      </c>
      <c r="E538" s="8" t="s">
        <v>11</v>
      </c>
      <c r="F538" s="24">
        <v>45</v>
      </c>
      <c r="G538" s="15">
        <v>0</v>
      </c>
      <c r="H538" s="15">
        <v>0</v>
      </c>
      <c r="I538" s="8" t="s">
        <v>996</v>
      </c>
      <c r="J538" s="20">
        <v>26.55</v>
      </c>
      <c r="K538" s="27" t="str">
        <f t="shared" si="56"/>
        <v>Died</v>
      </c>
      <c r="L538" s="27" t="str">
        <f t="shared" si="57"/>
        <v>Adult</v>
      </c>
      <c r="M538" s="28">
        <f t="shared" si="58"/>
        <v>1</v>
      </c>
      <c r="N538" s="27" t="str">
        <f t="shared" si="59"/>
        <v>Alone</v>
      </c>
      <c r="O538" s="27" t="str">
        <f t="shared" si="60"/>
        <v>Medium Fare</v>
      </c>
      <c r="P538" s="27" t="str">
        <f t="shared" si="61"/>
        <v>First Class</v>
      </c>
      <c r="Q538" s="27">
        <f t="shared" si="62"/>
        <v>1</v>
      </c>
    </row>
    <row r="539" spans="1:17" x14ac:dyDescent="0.3">
      <c r="A539" s="16">
        <v>538</v>
      </c>
      <c r="B539" s="16">
        <v>1</v>
      </c>
      <c r="C539" s="16">
        <v>1</v>
      </c>
      <c r="D539" s="11" t="s">
        <v>997</v>
      </c>
      <c r="E539" s="11" t="s">
        <v>14</v>
      </c>
      <c r="F539" s="25">
        <v>30</v>
      </c>
      <c r="G539" s="16">
        <v>0</v>
      </c>
      <c r="H539" s="16">
        <v>0</v>
      </c>
      <c r="I539" s="11" t="s">
        <v>998</v>
      </c>
      <c r="J539" s="21">
        <v>106.425</v>
      </c>
      <c r="K539" s="27" t="str">
        <f t="shared" si="56"/>
        <v>Survived</v>
      </c>
      <c r="L539" s="27" t="str">
        <f t="shared" si="57"/>
        <v>Young Adult</v>
      </c>
      <c r="M539" s="28">
        <f t="shared" si="58"/>
        <v>1</v>
      </c>
      <c r="N539" s="27" t="str">
        <f t="shared" si="59"/>
        <v>Alone</v>
      </c>
      <c r="O539" s="27" t="str">
        <f t="shared" si="60"/>
        <v>High Fare</v>
      </c>
      <c r="P539" s="27" t="str">
        <f t="shared" si="61"/>
        <v>First Class</v>
      </c>
      <c r="Q539" s="27">
        <f t="shared" si="62"/>
        <v>2</v>
      </c>
    </row>
    <row r="540" spans="1:17" x14ac:dyDescent="0.3">
      <c r="A540" s="15">
        <v>539</v>
      </c>
      <c r="B540" s="15">
        <v>0</v>
      </c>
      <c r="C540" s="15">
        <v>3</v>
      </c>
      <c r="D540" s="8" t="s">
        <v>999</v>
      </c>
      <c r="E540" s="8" t="s">
        <v>11</v>
      </c>
      <c r="F540" s="24">
        <v>26</v>
      </c>
      <c r="G540" s="15">
        <v>0</v>
      </c>
      <c r="H540" s="15">
        <v>0</v>
      </c>
      <c r="I540" s="8" t="s">
        <v>1000</v>
      </c>
      <c r="J540" s="20">
        <v>14.5</v>
      </c>
      <c r="K540" s="27" t="str">
        <f t="shared" si="56"/>
        <v>Died</v>
      </c>
      <c r="L540" s="27" t="str">
        <f t="shared" si="57"/>
        <v>Young Adult</v>
      </c>
      <c r="M540" s="28">
        <f t="shared" si="58"/>
        <v>1</v>
      </c>
      <c r="N540" s="27" t="str">
        <f t="shared" si="59"/>
        <v>Alone</v>
      </c>
      <c r="O540" s="27" t="str">
        <f t="shared" si="60"/>
        <v>Low Fare</v>
      </c>
      <c r="P540" s="27" t="str">
        <f t="shared" si="61"/>
        <v>Third Class</v>
      </c>
      <c r="Q540" s="27">
        <f t="shared" si="62"/>
        <v>1</v>
      </c>
    </row>
    <row r="541" spans="1:17" x14ac:dyDescent="0.3">
      <c r="A541" s="16">
        <v>540</v>
      </c>
      <c r="B541" s="16">
        <v>1</v>
      </c>
      <c r="C541" s="16">
        <v>1</v>
      </c>
      <c r="D541" s="11" t="s">
        <v>1001</v>
      </c>
      <c r="E541" s="11" t="s">
        <v>14</v>
      </c>
      <c r="F541" s="25">
        <v>22</v>
      </c>
      <c r="G541" s="16">
        <v>0</v>
      </c>
      <c r="H541" s="16">
        <v>2</v>
      </c>
      <c r="I541" s="11" t="s">
        <v>1002</v>
      </c>
      <c r="J541" s="21">
        <v>49.5</v>
      </c>
      <c r="K541" s="27" t="str">
        <f t="shared" si="56"/>
        <v>Survived</v>
      </c>
      <c r="L541" s="27" t="str">
        <f t="shared" si="57"/>
        <v>Young Adult</v>
      </c>
      <c r="M541" s="28">
        <f t="shared" si="58"/>
        <v>3</v>
      </c>
      <c r="N541" s="27" t="str">
        <f t="shared" si="59"/>
        <v>Small Family</v>
      </c>
      <c r="O541" s="27" t="str">
        <f t="shared" si="60"/>
        <v>Medium Fare</v>
      </c>
      <c r="P541" s="27" t="str">
        <f t="shared" si="61"/>
        <v>First Class</v>
      </c>
      <c r="Q541" s="27">
        <f t="shared" si="62"/>
        <v>2</v>
      </c>
    </row>
    <row r="542" spans="1:17" x14ac:dyDescent="0.3">
      <c r="A542" s="15">
        <v>541</v>
      </c>
      <c r="B542" s="15">
        <v>1</v>
      </c>
      <c r="C542" s="15">
        <v>1</v>
      </c>
      <c r="D542" s="8" t="s">
        <v>1003</v>
      </c>
      <c r="E542" s="8" t="s">
        <v>14</v>
      </c>
      <c r="F542" s="24">
        <v>36</v>
      </c>
      <c r="G542" s="15">
        <v>0</v>
      </c>
      <c r="H542" s="15">
        <v>2</v>
      </c>
      <c r="I542" s="8" t="s">
        <v>1004</v>
      </c>
      <c r="J542" s="20">
        <v>71</v>
      </c>
      <c r="K542" s="27" t="str">
        <f t="shared" si="56"/>
        <v>Survived</v>
      </c>
      <c r="L542" s="27" t="str">
        <f t="shared" si="57"/>
        <v>Adult</v>
      </c>
      <c r="M542" s="28">
        <f t="shared" si="58"/>
        <v>3</v>
      </c>
      <c r="N542" s="27" t="str">
        <f t="shared" si="59"/>
        <v>Small Family</v>
      </c>
      <c r="O542" s="27" t="str">
        <f t="shared" si="60"/>
        <v>Medium Fare</v>
      </c>
      <c r="P542" s="27" t="str">
        <f t="shared" si="61"/>
        <v>First Class</v>
      </c>
      <c r="Q542" s="27">
        <f t="shared" si="62"/>
        <v>2</v>
      </c>
    </row>
    <row r="543" spans="1:17" x14ac:dyDescent="0.3">
      <c r="A543" s="16">
        <v>542</v>
      </c>
      <c r="B543" s="16">
        <v>0</v>
      </c>
      <c r="C543" s="16">
        <v>3</v>
      </c>
      <c r="D543" s="11" t="s">
        <v>1005</v>
      </c>
      <c r="E543" s="11" t="s">
        <v>14</v>
      </c>
      <c r="F543" s="25">
        <v>9</v>
      </c>
      <c r="G543" s="16">
        <v>4</v>
      </c>
      <c r="H543" s="16">
        <v>2</v>
      </c>
      <c r="I543" s="11" t="s">
        <v>39</v>
      </c>
      <c r="J543" s="21">
        <v>31.274999999999999</v>
      </c>
      <c r="K543" s="27" t="str">
        <f t="shared" si="56"/>
        <v>Died</v>
      </c>
      <c r="L543" s="27" t="str">
        <f t="shared" si="57"/>
        <v>Child</v>
      </c>
      <c r="M543" s="28">
        <f t="shared" si="58"/>
        <v>7</v>
      </c>
      <c r="N543" s="27" t="str">
        <f t="shared" si="59"/>
        <v>Large Family</v>
      </c>
      <c r="O543" s="27" t="str">
        <f t="shared" si="60"/>
        <v>Medium Fare</v>
      </c>
      <c r="P543" s="27" t="str">
        <f t="shared" si="61"/>
        <v>Third Class</v>
      </c>
      <c r="Q543" s="27">
        <f t="shared" si="62"/>
        <v>2</v>
      </c>
    </row>
    <row r="544" spans="1:17" x14ac:dyDescent="0.3">
      <c r="A544" s="15">
        <v>543</v>
      </c>
      <c r="B544" s="15">
        <v>0</v>
      </c>
      <c r="C544" s="15">
        <v>3</v>
      </c>
      <c r="D544" s="8" t="s">
        <v>1006</v>
      </c>
      <c r="E544" s="8" t="s">
        <v>14</v>
      </c>
      <c r="F544" s="24">
        <v>11</v>
      </c>
      <c r="G544" s="15">
        <v>4</v>
      </c>
      <c r="H544" s="15">
        <v>2</v>
      </c>
      <c r="I544" s="8" t="s">
        <v>39</v>
      </c>
      <c r="J544" s="20">
        <v>31.274999999999999</v>
      </c>
      <c r="K544" s="27" t="str">
        <f t="shared" si="56"/>
        <v>Died</v>
      </c>
      <c r="L544" s="27" t="str">
        <f t="shared" si="57"/>
        <v>Child</v>
      </c>
      <c r="M544" s="28">
        <f t="shared" si="58"/>
        <v>7</v>
      </c>
      <c r="N544" s="27" t="str">
        <f t="shared" si="59"/>
        <v>Large Family</v>
      </c>
      <c r="O544" s="27" t="str">
        <f t="shared" si="60"/>
        <v>Medium Fare</v>
      </c>
      <c r="P544" s="27" t="str">
        <f t="shared" si="61"/>
        <v>Third Class</v>
      </c>
      <c r="Q544" s="27">
        <f t="shared" si="62"/>
        <v>2</v>
      </c>
    </row>
    <row r="545" spans="1:17" x14ac:dyDescent="0.3">
      <c r="A545" s="16">
        <v>544</v>
      </c>
      <c r="B545" s="16">
        <v>1</v>
      </c>
      <c r="C545" s="16">
        <v>2</v>
      </c>
      <c r="D545" s="11" t="s">
        <v>1007</v>
      </c>
      <c r="E545" s="11" t="s">
        <v>11</v>
      </c>
      <c r="F545" s="25">
        <v>32</v>
      </c>
      <c r="G545" s="16">
        <v>1</v>
      </c>
      <c r="H545" s="16">
        <v>0</v>
      </c>
      <c r="I545" s="11" t="s">
        <v>1008</v>
      </c>
      <c r="J545" s="21">
        <v>26</v>
      </c>
      <c r="K545" s="27" t="str">
        <f t="shared" si="56"/>
        <v>Survived</v>
      </c>
      <c r="L545" s="27" t="str">
        <f t="shared" si="57"/>
        <v>Young Adult</v>
      </c>
      <c r="M545" s="28">
        <f t="shared" si="58"/>
        <v>2</v>
      </c>
      <c r="N545" s="27" t="str">
        <f t="shared" si="59"/>
        <v>Small Family</v>
      </c>
      <c r="O545" s="27" t="str">
        <f t="shared" si="60"/>
        <v>Medium Fare</v>
      </c>
      <c r="P545" s="27" t="str">
        <f t="shared" si="61"/>
        <v>Second Class</v>
      </c>
      <c r="Q545" s="27">
        <f t="shared" si="62"/>
        <v>1</v>
      </c>
    </row>
    <row r="546" spans="1:17" x14ac:dyDescent="0.3">
      <c r="A546" s="15">
        <v>545</v>
      </c>
      <c r="B546" s="15">
        <v>0</v>
      </c>
      <c r="C546" s="15">
        <v>1</v>
      </c>
      <c r="D546" s="8" t="s">
        <v>1009</v>
      </c>
      <c r="E546" s="8" t="s">
        <v>11</v>
      </c>
      <c r="F546" s="24">
        <v>50</v>
      </c>
      <c r="G546" s="15">
        <v>1</v>
      </c>
      <c r="H546" s="15">
        <v>0</v>
      </c>
      <c r="I546" s="8" t="s">
        <v>998</v>
      </c>
      <c r="J546" s="20">
        <v>106.425</v>
      </c>
      <c r="K546" s="27" t="str">
        <f t="shared" si="56"/>
        <v>Died</v>
      </c>
      <c r="L546" s="27" t="str">
        <f t="shared" si="57"/>
        <v>Adult</v>
      </c>
      <c r="M546" s="28">
        <f t="shared" si="58"/>
        <v>2</v>
      </c>
      <c r="N546" s="27" t="str">
        <f t="shared" si="59"/>
        <v>Small Family</v>
      </c>
      <c r="O546" s="27" t="str">
        <f t="shared" si="60"/>
        <v>High Fare</v>
      </c>
      <c r="P546" s="27" t="str">
        <f t="shared" si="61"/>
        <v>First Class</v>
      </c>
      <c r="Q546" s="27">
        <f t="shared" si="62"/>
        <v>1</v>
      </c>
    </row>
    <row r="547" spans="1:17" x14ac:dyDescent="0.3">
      <c r="A547" s="16">
        <v>546</v>
      </c>
      <c r="B547" s="16">
        <v>0</v>
      </c>
      <c r="C547" s="16">
        <v>1</v>
      </c>
      <c r="D547" s="11" t="s">
        <v>1010</v>
      </c>
      <c r="E547" s="11" t="s">
        <v>11</v>
      </c>
      <c r="F547" s="25">
        <v>64</v>
      </c>
      <c r="G547" s="16">
        <v>0</v>
      </c>
      <c r="H547" s="16">
        <v>0</v>
      </c>
      <c r="I547" s="11" t="s">
        <v>1011</v>
      </c>
      <c r="J547" s="21">
        <v>26</v>
      </c>
      <c r="K547" s="27" t="str">
        <f t="shared" si="56"/>
        <v>Died</v>
      </c>
      <c r="L547" s="27" t="str">
        <f t="shared" si="57"/>
        <v>Senior</v>
      </c>
      <c r="M547" s="28">
        <f t="shared" si="58"/>
        <v>1</v>
      </c>
      <c r="N547" s="27" t="str">
        <f t="shared" si="59"/>
        <v>Alone</v>
      </c>
      <c r="O547" s="27" t="str">
        <f t="shared" si="60"/>
        <v>Medium Fare</v>
      </c>
      <c r="P547" s="27" t="str">
        <f t="shared" si="61"/>
        <v>First Class</v>
      </c>
      <c r="Q547" s="27">
        <f t="shared" si="62"/>
        <v>1</v>
      </c>
    </row>
    <row r="548" spans="1:17" x14ac:dyDescent="0.3">
      <c r="A548" s="15">
        <v>547</v>
      </c>
      <c r="B548" s="15">
        <v>1</v>
      </c>
      <c r="C548" s="15">
        <v>2</v>
      </c>
      <c r="D548" s="8" t="s">
        <v>1012</v>
      </c>
      <c r="E548" s="8" t="s">
        <v>14</v>
      </c>
      <c r="F548" s="24">
        <v>19</v>
      </c>
      <c r="G548" s="15">
        <v>1</v>
      </c>
      <c r="H548" s="15">
        <v>0</v>
      </c>
      <c r="I548" s="8" t="s">
        <v>1008</v>
      </c>
      <c r="J548" s="20">
        <v>26</v>
      </c>
      <c r="K548" s="27" t="str">
        <f t="shared" si="56"/>
        <v>Survived</v>
      </c>
      <c r="L548" s="27" t="str">
        <f t="shared" si="57"/>
        <v>Young Adult</v>
      </c>
      <c r="M548" s="28">
        <f t="shared" si="58"/>
        <v>2</v>
      </c>
      <c r="N548" s="27" t="str">
        <f t="shared" si="59"/>
        <v>Small Family</v>
      </c>
      <c r="O548" s="27" t="str">
        <f t="shared" si="60"/>
        <v>Medium Fare</v>
      </c>
      <c r="P548" s="27" t="str">
        <f t="shared" si="61"/>
        <v>Second Class</v>
      </c>
      <c r="Q548" s="27">
        <f t="shared" si="62"/>
        <v>2</v>
      </c>
    </row>
    <row r="549" spans="1:17" x14ac:dyDescent="0.3">
      <c r="A549" s="16">
        <v>548</v>
      </c>
      <c r="B549" s="16">
        <v>1</v>
      </c>
      <c r="C549" s="16">
        <v>2</v>
      </c>
      <c r="D549" s="11" t="s">
        <v>1013</v>
      </c>
      <c r="E549" s="11" t="s">
        <v>11</v>
      </c>
      <c r="F549" s="25">
        <v>26</v>
      </c>
      <c r="G549" s="16">
        <v>0</v>
      </c>
      <c r="H549" s="16">
        <v>0</v>
      </c>
      <c r="I549" s="11" t="s">
        <v>1014</v>
      </c>
      <c r="J549" s="21">
        <v>13.862500000000001</v>
      </c>
      <c r="K549" s="27" t="str">
        <f t="shared" si="56"/>
        <v>Survived</v>
      </c>
      <c r="L549" s="27" t="str">
        <f t="shared" si="57"/>
        <v>Young Adult</v>
      </c>
      <c r="M549" s="28">
        <f t="shared" si="58"/>
        <v>1</v>
      </c>
      <c r="N549" s="27" t="str">
        <f t="shared" si="59"/>
        <v>Alone</v>
      </c>
      <c r="O549" s="27" t="str">
        <f t="shared" si="60"/>
        <v>Low Fare</v>
      </c>
      <c r="P549" s="27" t="str">
        <f t="shared" si="61"/>
        <v>Second Class</v>
      </c>
      <c r="Q549" s="27">
        <f t="shared" si="62"/>
        <v>1</v>
      </c>
    </row>
    <row r="550" spans="1:17" x14ac:dyDescent="0.3">
      <c r="A550" s="15">
        <v>549</v>
      </c>
      <c r="B550" s="15">
        <v>0</v>
      </c>
      <c r="C550" s="15">
        <v>3</v>
      </c>
      <c r="D550" s="8" t="s">
        <v>1015</v>
      </c>
      <c r="E550" s="8" t="s">
        <v>11</v>
      </c>
      <c r="F550" s="24">
        <v>33</v>
      </c>
      <c r="G550" s="15">
        <v>1</v>
      </c>
      <c r="H550" s="15">
        <v>1</v>
      </c>
      <c r="I550" s="8" t="s">
        <v>331</v>
      </c>
      <c r="J550" s="20">
        <v>20.524999999999999</v>
      </c>
      <c r="K550" s="27" t="str">
        <f t="shared" si="56"/>
        <v>Died</v>
      </c>
      <c r="L550" s="27" t="str">
        <f t="shared" si="57"/>
        <v>Young Adult</v>
      </c>
      <c r="M550" s="28">
        <f t="shared" si="58"/>
        <v>3</v>
      </c>
      <c r="N550" s="27" t="str">
        <f t="shared" si="59"/>
        <v>Small Family</v>
      </c>
      <c r="O550" s="27" t="str">
        <f t="shared" si="60"/>
        <v>Low Fare</v>
      </c>
      <c r="P550" s="27" t="str">
        <f t="shared" si="61"/>
        <v>Third Class</v>
      </c>
      <c r="Q550" s="27">
        <f t="shared" si="62"/>
        <v>1</v>
      </c>
    </row>
    <row r="551" spans="1:17" x14ac:dyDescent="0.3">
      <c r="A551" s="16">
        <v>550</v>
      </c>
      <c r="B551" s="16">
        <v>1</v>
      </c>
      <c r="C551" s="16">
        <v>2</v>
      </c>
      <c r="D551" s="11" t="s">
        <v>1016</v>
      </c>
      <c r="E551" s="11" t="s">
        <v>11</v>
      </c>
      <c r="F551" s="25">
        <v>8</v>
      </c>
      <c r="G551" s="16">
        <v>1</v>
      </c>
      <c r="H551" s="16">
        <v>1</v>
      </c>
      <c r="I551" s="11" t="s">
        <v>293</v>
      </c>
      <c r="J551" s="21">
        <v>36.75</v>
      </c>
      <c r="K551" s="27" t="str">
        <f t="shared" si="56"/>
        <v>Survived</v>
      </c>
      <c r="L551" s="27" t="str">
        <f t="shared" si="57"/>
        <v>Child</v>
      </c>
      <c r="M551" s="28">
        <f t="shared" si="58"/>
        <v>3</v>
      </c>
      <c r="N551" s="27" t="str">
        <f t="shared" si="59"/>
        <v>Small Family</v>
      </c>
      <c r="O551" s="27" t="str">
        <f t="shared" si="60"/>
        <v>Medium Fare</v>
      </c>
      <c r="P551" s="27" t="str">
        <f t="shared" si="61"/>
        <v>Second Class</v>
      </c>
      <c r="Q551" s="27">
        <f t="shared" si="62"/>
        <v>1</v>
      </c>
    </row>
    <row r="552" spans="1:17" x14ac:dyDescent="0.3">
      <c r="A552" s="15">
        <v>551</v>
      </c>
      <c r="B552" s="15">
        <v>1</v>
      </c>
      <c r="C552" s="15">
        <v>1</v>
      </c>
      <c r="D552" s="8" t="s">
        <v>1017</v>
      </c>
      <c r="E552" s="8" t="s">
        <v>11</v>
      </c>
      <c r="F552" s="24">
        <v>17</v>
      </c>
      <c r="G552" s="15">
        <v>0</v>
      </c>
      <c r="H552" s="15">
        <v>2</v>
      </c>
      <c r="I552" s="8" t="s">
        <v>591</v>
      </c>
      <c r="J552" s="20">
        <v>110.88330000000001</v>
      </c>
      <c r="K552" s="27" t="str">
        <f t="shared" si="56"/>
        <v>Survived</v>
      </c>
      <c r="L552" s="27" t="str">
        <f t="shared" si="57"/>
        <v>Child</v>
      </c>
      <c r="M552" s="28">
        <f t="shared" si="58"/>
        <v>3</v>
      </c>
      <c r="N552" s="27" t="str">
        <f t="shared" si="59"/>
        <v>Small Family</v>
      </c>
      <c r="O552" s="27" t="str">
        <f t="shared" si="60"/>
        <v>High Fare</v>
      </c>
      <c r="P552" s="27" t="str">
        <f t="shared" si="61"/>
        <v>First Class</v>
      </c>
      <c r="Q552" s="27">
        <f t="shared" si="62"/>
        <v>1</v>
      </c>
    </row>
    <row r="553" spans="1:17" x14ac:dyDescent="0.3">
      <c r="A553" s="16">
        <v>552</v>
      </c>
      <c r="B553" s="16">
        <v>0</v>
      </c>
      <c r="C553" s="16">
        <v>2</v>
      </c>
      <c r="D553" s="11" t="s">
        <v>1018</v>
      </c>
      <c r="E553" s="11" t="s">
        <v>11</v>
      </c>
      <c r="F553" s="25">
        <v>27</v>
      </c>
      <c r="G553" s="16">
        <v>0</v>
      </c>
      <c r="H553" s="16">
        <v>0</v>
      </c>
      <c r="I553" s="11" t="s">
        <v>1019</v>
      </c>
      <c r="J553" s="21">
        <v>26</v>
      </c>
      <c r="K553" s="27" t="str">
        <f t="shared" si="56"/>
        <v>Died</v>
      </c>
      <c r="L553" s="27" t="str">
        <f t="shared" si="57"/>
        <v>Young Adult</v>
      </c>
      <c r="M553" s="28">
        <f t="shared" si="58"/>
        <v>1</v>
      </c>
      <c r="N553" s="27" t="str">
        <f t="shared" si="59"/>
        <v>Alone</v>
      </c>
      <c r="O553" s="27" t="str">
        <f t="shared" si="60"/>
        <v>Medium Fare</v>
      </c>
      <c r="P553" s="27" t="str">
        <f t="shared" si="61"/>
        <v>Second Class</v>
      </c>
      <c r="Q553" s="27">
        <f t="shared" si="62"/>
        <v>1</v>
      </c>
    </row>
    <row r="554" spans="1:17" x14ac:dyDescent="0.3">
      <c r="A554" s="15">
        <v>553</v>
      </c>
      <c r="B554" s="15">
        <v>0</v>
      </c>
      <c r="C554" s="15">
        <v>3</v>
      </c>
      <c r="D554" s="8" t="s">
        <v>1020</v>
      </c>
      <c r="E554" s="8" t="s">
        <v>11</v>
      </c>
      <c r="F554" s="24">
        <v>26</v>
      </c>
      <c r="G554" s="15">
        <v>0</v>
      </c>
      <c r="H554" s="15">
        <v>0</v>
      </c>
      <c r="I554" s="8" t="s">
        <v>1021</v>
      </c>
      <c r="J554" s="20">
        <v>7.8292000000000002</v>
      </c>
      <c r="K554" s="27" t="str">
        <f t="shared" si="56"/>
        <v>Died</v>
      </c>
      <c r="L554" s="27" t="str">
        <f t="shared" si="57"/>
        <v>Young Adult</v>
      </c>
      <c r="M554" s="28">
        <f t="shared" si="58"/>
        <v>1</v>
      </c>
      <c r="N554" s="27" t="str">
        <f t="shared" si="59"/>
        <v>Alone</v>
      </c>
      <c r="O554" s="27" t="str">
        <f t="shared" si="60"/>
        <v>Low Fare</v>
      </c>
      <c r="P554" s="27" t="str">
        <f t="shared" si="61"/>
        <v>Third Class</v>
      </c>
      <c r="Q554" s="27">
        <f t="shared" si="62"/>
        <v>1</v>
      </c>
    </row>
    <row r="555" spans="1:17" x14ac:dyDescent="0.3">
      <c r="A555" s="16">
        <v>554</v>
      </c>
      <c r="B555" s="16">
        <v>1</v>
      </c>
      <c r="C555" s="16">
        <v>3</v>
      </c>
      <c r="D555" s="11" t="s">
        <v>1022</v>
      </c>
      <c r="E555" s="11" t="s">
        <v>11</v>
      </c>
      <c r="F555" s="25">
        <v>22</v>
      </c>
      <c r="G555" s="16">
        <v>0</v>
      </c>
      <c r="H555" s="16">
        <v>0</v>
      </c>
      <c r="I555" s="11" t="s">
        <v>1023</v>
      </c>
      <c r="J555" s="21">
        <v>7.2249999999999996</v>
      </c>
      <c r="K555" s="27" t="str">
        <f t="shared" si="56"/>
        <v>Survived</v>
      </c>
      <c r="L555" s="27" t="str">
        <f t="shared" si="57"/>
        <v>Young Adult</v>
      </c>
      <c r="M555" s="28">
        <f t="shared" si="58"/>
        <v>1</v>
      </c>
      <c r="N555" s="27" t="str">
        <f t="shared" si="59"/>
        <v>Alone</v>
      </c>
      <c r="O555" s="27" t="str">
        <f t="shared" si="60"/>
        <v>Low Fare</v>
      </c>
      <c r="P555" s="27" t="str">
        <f t="shared" si="61"/>
        <v>Third Class</v>
      </c>
      <c r="Q555" s="27">
        <f t="shared" si="62"/>
        <v>1</v>
      </c>
    </row>
    <row r="556" spans="1:17" x14ac:dyDescent="0.3">
      <c r="A556" s="15">
        <v>555</v>
      </c>
      <c r="B556" s="15">
        <v>1</v>
      </c>
      <c r="C556" s="15">
        <v>3</v>
      </c>
      <c r="D556" s="8" t="s">
        <v>1024</v>
      </c>
      <c r="E556" s="8" t="s">
        <v>14</v>
      </c>
      <c r="F556" s="24">
        <v>22</v>
      </c>
      <c r="G556" s="15">
        <v>0</v>
      </c>
      <c r="H556" s="15">
        <v>0</v>
      </c>
      <c r="I556" s="8" t="s">
        <v>1025</v>
      </c>
      <c r="J556" s="20">
        <v>7.7750000000000004</v>
      </c>
      <c r="K556" s="27" t="str">
        <f t="shared" si="56"/>
        <v>Survived</v>
      </c>
      <c r="L556" s="27" t="str">
        <f t="shared" si="57"/>
        <v>Young Adult</v>
      </c>
      <c r="M556" s="28">
        <f t="shared" si="58"/>
        <v>1</v>
      </c>
      <c r="N556" s="27" t="str">
        <f t="shared" si="59"/>
        <v>Alone</v>
      </c>
      <c r="O556" s="27" t="str">
        <f t="shared" si="60"/>
        <v>Low Fare</v>
      </c>
      <c r="P556" s="27" t="str">
        <f t="shared" si="61"/>
        <v>Third Class</v>
      </c>
      <c r="Q556" s="27">
        <f t="shared" si="62"/>
        <v>2</v>
      </c>
    </row>
    <row r="557" spans="1:17" x14ac:dyDescent="0.3">
      <c r="A557" s="16">
        <v>556</v>
      </c>
      <c r="B557" s="16">
        <v>0</v>
      </c>
      <c r="C557" s="16">
        <v>1</v>
      </c>
      <c r="D557" s="11" t="s">
        <v>1026</v>
      </c>
      <c r="E557" s="11" t="s">
        <v>11</v>
      </c>
      <c r="F557" s="25">
        <v>62</v>
      </c>
      <c r="G557" s="16">
        <v>0</v>
      </c>
      <c r="H557" s="16">
        <v>0</v>
      </c>
      <c r="I557" s="11" t="s">
        <v>1027</v>
      </c>
      <c r="J557" s="21">
        <v>26.55</v>
      </c>
      <c r="K557" s="27" t="str">
        <f t="shared" si="56"/>
        <v>Died</v>
      </c>
      <c r="L557" s="27" t="str">
        <f t="shared" si="57"/>
        <v>Senior</v>
      </c>
      <c r="M557" s="28">
        <f t="shared" si="58"/>
        <v>1</v>
      </c>
      <c r="N557" s="27" t="str">
        <f t="shared" si="59"/>
        <v>Alone</v>
      </c>
      <c r="O557" s="27" t="str">
        <f t="shared" si="60"/>
        <v>Medium Fare</v>
      </c>
      <c r="P557" s="27" t="str">
        <f t="shared" si="61"/>
        <v>First Class</v>
      </c>
      <c r="Q557" s="27">
        <f t="shared" si="62"/>
        <v>1</v>
      </c>
    </row>
    <row r="558" spans="1:17" x14ac:dyDescent="0.3">
      <c r="A558" s="15">
        <v>557</v>
      </c>
      <c r="B558" s="15">
        <v>1</v>
      </c>
      <c r="C558" s="15">
        <v>1</v>
      </c>
      <c r="D558" s="8" t="s">
        <v>1028</v>
      </c>
      <c r="E558" s="8" t="s">
        <v>14</v>
      </c>
      <c r="F558" s="24">
        <v>48</v>
      </c>
      <c r="G558" s="15">
        <v>1</v>
      </c>
      <c r="H558" s="15">
        <v>0</v>
      </c>
      <c r="I558" s="8" t="s">
        <v>1029</v>
      </c>
      <c r="J558" s="20">
        <v>39.6</v>
      </c>
      <c r="K558" s="27" t="str">
        <f t="shared" si="56"/>
        <v>Survived</v>
      </c>
      <c r="L558" s="27" t="str">
        <f t="shared" si="57"/>
        <v>Adult</v>
      </c>
      <c r="M558" s="28">
        <f t="shared" si="58"/>
        <v>2</v>
      </c>
      <c r="N558" s="27" t="str">
        <f t="shared" si="59"/>
        <v>Small Family</v>
      </c>
      <c r="O558" s="27" t="str">
        <f t="shared" si="60"/>
        <v>Medium Fare</v>
      </c>
      <c r="P558" s="27" t="str">
        <f t="shared" si="61"/>
        <v>First Class</v>
      </c>
      <c r="Q558" s="27">
        <f t="shared" si="62"/>
        <v>2</v>
      </c>
    </row>
    <row r="559" spans="1:17" x14ac:dyDescent="0.3">
      <c r="A559" s="16">
        <v>558</v>
      </c>
      <c r="B559" s="16">
        <v>0</v>
      </c>
      <c r="C559" s="16">
        <v>1</v>
      </c>
      <c r="D559" s="11" t="s">
        <v>1030</v>
      </c>
      <c r="E559" s="11" t="s">
        <v>11</v>
      </c>
      <c r="F559" s="25">
        <v>26</v>
      </c>
      <c r="G559" s="16">
        <v>0</v>
      </c>
      <c r="H559" s="16">
        <v>0</v>
      </c>
      <c r="I559" s="11" t="s">
        <v>720</v>
      </c>
      <c r="J559" s="21">
        <v>227.52500000000001</v>
      </c>
      <c r="K559" s="27" t="str">
        <f t="shared" si="56"/>
        <v>Died</v>
      </c>
      <c r="L559" s="27" t="str">
        <f t="shared" si="57"/>
        <v>Young Adult</v>
      </c>
      <c r="M559" s="28">
        <f t="shared" si="58"/>
        <v>1</v>
      </c>
      <c r="N559" s="27" t="str">
        <f t="shared" si="59"/>
        <v>Alone</v>
      </c>
      <c r="O559" s="27" t="str">
        <f t="shared" si="60"/>
        <v>High Fare</v>
      </c>
      <c r="P559" s="27" t="str">
        <f t="shared" si="61"/>
        <v>First Class</v>
      </c>
      <c r="Q559" s="27">
        <f t="shared" si="62"/>
        <v>1</v>
      </c>
    </row>
    <row r="560" spans="1:17" x14ac:dyDescent="0.3">
      <c r="A560" s="15">
        <v>559</v>
      </c>
      <c r="B560" s="15">
        <v>1</v>
      </c>
      <c r="C560" s="15">
        <v>1</v>
      </c>
      <c r="D560" s="8" t="s">
        <v>1031</v>
      </c>
      <c r="E560" s="8" t="s">
        <v>14</v>
      </c>
      <c r="F560" s="24">
        <v>39</v>
      </c>
      <c r="G560" s="15">
        <v>1</v>
      </c>
      <c r="H560" s="15">
        <v>1</v>
      </c>
      <c r="I560" s="8" t="s">
        <v>509</v>
      </c>
      <c r="J560" s="20">
        <v>79.650000000000006</v>
      </c>
      <c r="K560" s="27" t="str">
        <f t="shared" si="56"/>
        <v>Survived</v>
      </c>
      <c r="L560" s="27" t="str">
        <f t="shared" si="57"/>
        <v>Adult</v>
      </c>
      <c r="M560" s="28">
        <f t="shared" si="58"/>
        <v>3</v>
      </c>
      <c r="N560" s="27" t="str">
        <f t="shared" si="59"/>
        <v>Small Family</v>
      </c>
      <c r="O560" s="27" t="str">
        <f t="shared" si="60"/>
        <v>Medium Fare</v>
      </c>
      <c r="P560" s="27" t="str">
        <f t="shared" si="61"/>
        <v>First Class</v>
      </c>
      <c r="Q560" s="27">
        <f t="shared" si="62"/>
        <v>2</v>
      </c>
    </row>
    <row r="561" spans="1:17" x14ac:dyDescent="0.3">
      <c r="A561" s="16">
        <v>560</v>
      </c>
      <c r="B561" s="16">
        <v>1</v>
      </c>
      <c r="C561" s="16">
        <v>3</v>
      </c>
      <c r="D561" s="11" t="s">
        <v>1032</v>
      </c>
      <c r="E561" s="11" t="s">
        <v>14</v>
      </c>
      <c r="F561" s="25">
        <v>36</v>
      </c>
      <c r="G561" s="16">
        <v>1</v>
      </c>
      <c r="H561" s="16">
        <v>0</v>
      </c>
      <c r="I561" s="11" t="s">
        <v>1033</v>
      </c>
      <c r="J561" s="21">
        <v>17.399999999999999</v>
      </c>
      <c r="K561" s="27" t="str">
        <f t="shared" si="56"/>
        <v>Survived</v>
      </c>
      <c r="L561" s="27" t="str">
        <f t="shared" si="57"/>
        <v>Adult</v>
      </c>
      <c r="M561" s="28">
        <f t="shared" si="58"/>
        <v>2</v>
      </c>
      <c r="N561" s="27" t="str">
        <f t="shared" si="59"/>
        <v>Small Family</v>
      </c>
      <c r="O561" s="27" t="str">
        <f t="shared" si="60"/>
        <v>Low Fare</v>
      </c>
      <c r="P561" s="27" t="str">
        <f t="shared" si="61"/>
        <v>Third Class</v>
      </c>
      <c r="Q561" s="27">
        <f t="shared" si="62"/>
        <v>2</v>
      </c>
    </row>
    <row r="562" spans="1:17" x14ac:dyDescent="0.3">
      <c r="A562" s="15">
        <v>561</v>
      </c>
      <c r="B562" s="15">
        <v>0</v>
      </c>
      <c r="C562" s="15">
        <v>3</v>
      </c>
      <c r="D562" s="8" t="s">
        <v>1034</v>
      </c>
      <c r="E562" s="8" t="s">
        <v>11</v>
      </c>
      <c r="F562" s="24">
        <v>26</v>
      </c>
      <c r="G562" s="15">
        <v>0</v>
      </c>
      <c r="H562" s="15">
        <v>0</v>
      </c>
      <c r="I562" s="8" t="s">
        <v>1035</v>
      </c>
      <c r="J562" s="20">
        <v>7.75</v>
      </c>
      <c r="K562" s="27" t="str">
        <f t="shared" si="56"/>
        <v>Died</v>
      </c>
      <c r="L562" s="27" t="str">
        <f t="shared" si="57"/>
        <v>Young Adult</v>
      </c>
      <c r="M562" s="28">
        <f t="shared" si="58"/>
        <v>1</v>
      </c>
      <c r="N562" s="27" t="str">
        <f t="shared" si="59"/>
        <v>Alone</v>
      </c>
      <c r="O562" s="27" t="str">
        <f t="shared" si="60"/>
        <v>Low Fare</v>
      </c>
      <c r="P562" s="27" t="str">
        <f t="shared" si="61"/>
        <v>Third Class</v>
      </c>
      <c r="Q562" s="27">
        <f t="shared" si="62"/>
        <v>1</v>
      </c>
    </row>
    <row r="563" spans="1:17" x14ac:dyDescent="0.3">
      <c r="A563" s="16">
        <v>562</v>
      </c>
      <c r="B563" s="16">
        <v>0</v>
      </c>
      <c r="C563" s="16">
        <v>3</v>
      </c>
      <c r="D563" s="11" t="s">
        <v>1036</v>
      </c>
      <c r="E563" s="11" t="s">
        <v>11</v>
      </c>
      <c r="F563" s="25">
        <v>40</v>
      </c>
      <c r="G563" s="16">
        <v>0</v>
      </c>
      <c r="H563" s="16">
        <v>0</v>
      </c>
      <c r="I563" s="11" t="s">
        <v>1037</v>
      </c>
      <c r="J563" s="21">
        <v>7.8958000000000004</v>
      </c>
      <c r="K563" s="27" t="str">
        <f t="shared" si="56"/>
        <v>Died</v>
      </c>
      <c r="L563" s="27" t="str">
        <f t="shared" si="57"/>
        <v>Adult</v>
      </c>
      <c r="M563" s="28">
        <f t="shared" si="58"/>
        <v>1</v>
      </c>
      <c r="N563" s="27" t="str">
        <f t="shared" si="59"/>
        <v>Alone</v>
      </c>
      <c r="O563" s="27" t="str">
        <f t="shared" si="60"/>
        <v>Low Fare</v>
      </c>
      <c r="P563" s="27" t="str">
        <f t="shared" si="61"/>
        <v>Third Class</v>
      </c>
      <c r="Q563" s="27">
        <f t="shared" si="62"/>
        <v>1</v>
      </c>
    </row>
    <row r="564" spans="1:17" x14ac:dyDescent="0.3">
      <c r="A564" s="15">
        <v>563</v>
      </c>
      <c r="B564" s="15">
        <v>0</v>
      </c>
      <c r="C564" s="15">
        <v>2</v>
      </c>
      <c r="D564" s="8" t="s">
        <v>1038</v>
      </c>
      <c r="E564" s="8" t="s">
        <v>11</v>
      </c>
      <c r="F564" s="24">
        <v>28</v>
      </c>
      <c r="G564" s="15">
        <v>0</v>
      </c>
      <c r="H564" s="15">
        <v>0</v>
      </c>
      <c r="I564" s="8" t="s">
        <v>1039</v>
      </c>
      <c r="J564" s="20">
        <v>13.5</v>
      </c>
      <c r="K564" s="27" t="str">
        <f t="shared" si="56"/>
        <v>Died</v>
      </c>
      <c r="L564" s="27" t="str">
        <f t="shared" si="57"/>
        <v>Young Adult</v>
      </c>
      <c r="M564" s="28">
        <f t="shared" si="58"/>
        <v>1</v>
      </c>
      <c r="N564" s="27" t="str">
        <f t="shared" si="59"/>
        <v>Alone</v>
      </c>
      <c r="O564" s="27" t="str">
        <f t="shared" si="60"/>
        <v>Low Fare</v>
      </c>
      <c r="P564" s="27" t="str">
        <f t="shared" si="61"/>
        <v>Second Class</v>
      </c>
      <c r="Q564" s="27">
        <f t="shared" si="62"/>
        <v>1</v>
      </c>
    </row>
    <row r="565" spans="1:17" x14ac:dyDescent="0.3">
      <c r="A565" s="16">
        <v>564</v>
      </c>
      <c r="B565" s="16">
        <v>0</v>
      </c>
      <c r="C565" s="16">
        <v>3</v>
      </c>
      <c r="D565" s="11" t="s">
        <v>1040</v>
      </c>
      <c r="E565" s="11" t="s">
        <v>11</v>
      </c>
      <c r="F565" s="25">
        <v>26</v>
      </c>
      <c r="G565" s="16">
        <v>0</v>
      </c>
      <c r="H565" s="16">
        <v>0</v>
      </c>
      <c r="I565" s="11" t="s">
        <v>1041</v>
      </c>
      <c r="J565" s="21">
        <v>8.0500000000000007</v>
      </c>
      <c r="K565" s="27" t="str">
        <f t="shared" si="56"/>
        <v>Died</v>
      </c>
      <c r="L565" s="27" t="str">
        <f t="shared" si="57"/>
        <v>Young Adult</v>
      </c>
      <c r="M565" s="28">
        <f t="shared" si="58"/>
        <v>1</v>
      </c>
      <c r="N565" s="27" t="str">
        <f t="shared" si="59"/>
        <v>Alone</v>
      </c>
      <c r="O565" s="27" t="str">
        <f t="shared" si="60"/>
        <v>Low Fare</v>
      </c>
      <c r="P565" s="27" t="str">
        <f t="shared" si="61"/>
        <v>Third Class</v>
      </c>
      <c r="Q565" s="27">
        <f t="shared" si="62"/>
        <v>1</v>
      </c>
    </row>
    <row r="566" spans="1:17" x14ac:dyDescent="0.3">
      <c r="A566" s="15">
        <v>565</v>
      </c>
      <c r="B566" s="15">
        <v>0</v>
      </c>
      <c r="C566" s="15">
        <v>3</v>
      </c>
      <c r="D566" s="8" t="s">
        <v>1042</v>
      </c>
      <c r="E566" s="8" t="s">
        <v>14</v>
      </c>
      <c r="F566" s="24">
        <v>26</v>
      </c>
      <c r="G566" s="15">
        <v>0</v>
      </c>
      <c r="H566" s="15">
        <v>0</v>
      </c>
      <c r="I566" s="8" t="s">
        <v>1043</v>
      </c>
      <c r="J566" s="20">
        <v>8.0500000000000007</v>
      </c>
      <c r="K566" s="27" t="str">
        <f t="shared" si="56"/>
        <v>Died</v>
      </c>
      <c r="L566" s="27" t="str">
        <f t="shared" si="57"/>
        <v>Young Adult</v>
      </c>
      <c r="M566" s="28">
        <f t="shared" si="58"/>
        <v>1</v>
      </c>
      <c r="N566" s="27" t="str">
        <f t="shared" si="59"/>
        <v>Alone</v>
      </c>
      <c r="O566" s="27" t="str">
        <f t="shared" si="60"/>
        <v>Low Fare</v>
      </c>
      <c r="P566" s="27" t="str">
        <f t="shared" si="61"/>
        <v>Third Class</v>
      </c>
      <c r="Q566" s="27">
        <f t="shared" si="62"/>
        <v>2</v>
      </c>
    </row>
    <row r="567" spans="1:17" x14ac:dyDescent="0.3">
      <c r="A567" s="16">
        <v>566</v>
      </c>
      <c r="B567" s="16">
        <v>0</v>
      </c>
      <c r="C567" s="16">
        <v>3</v>
      </c>
      <c r="D567" s="11" t="s">
        <v>1044</v>
      </c>
      <c r="E567" s="11" t="s">
        <v>11</v>
      </c>
      <c r="F567" s="25">
        <v>24</v>
      </c>
      <c r="G567" s="16">
        <v>2</v>
      </c>
      <c r="H567" s="16">
        <v>0</v>
      </c>
      <c r="I567" s="11" t="s">
        <v>1045</v>
      </c>
      <c r="J567" s="21">
        <v>24.15</v>
      </c>
      <c r="K567" s="27" t="str">
        <f t="shared" si="56"/>
        <v>Died</v>
      </c>
      <c r="L567" s="27" t="str">
        <f t="shared" si="57"/>
        <v>Young Adult</v>
      </c>
      <c r="M567" s="28">
        <f t="shared" si="58"/>
        <v>3</v>
      </c>
      <c r="N567" s="27" t="str">
        <f t="shared" si="59"/>
        <v>Small Family</v>
      </c>
      <c r="O567" s="27" t="str">
        <f t="shared" si="60"/>
        <v>Low Fare</v>
      </c>
      <c r="P567" s="27" t="str">
        <f t="shared" si="61"/>
        <v>Third Class</v>
      </c>
      <c r="Q567" s="27">
        <f t="shared" si="62"/>
        <v>1</v>
      </c>
    </row>
    <row r="568" spans="1:17" x14ac:dyDescent="0.3">
      <c r="A568" s="15">
        <v>567</v>
      </c>
      <c r="B568" s="15">
        <v>0</v>
      </c>
      <c r="C568" s="15">
        <v>3</v>
      </c>
      <c r="D568" s="8" t="s">
        <v>1046</v>
      </c>
      <c r="E568" s="8" t="s">
        <v>11</v>
      </c>
      <c r="F568" s="24">
        <v>19</v>
      </c>
      <c r="G568" s="15">
        <v>0</v>
      </c>
      <c r="H568" s="15">
        <v>0</v>
      </c>
      <c r="I568" s="8" t="s">
        <v>1047</v>
      </c>
      <c r="J568" s="20">
        <v>7.8958000000000004</v>
      </c>
      <c r="K568" s="27" t="str">
        <f t="shared" si="56"/>
        <v>Died</v>
      </c>
      <c r="L568" s="27" t="str">
        <f t="shared" si="57"/>
        <v>Young Adult</v>
      </c>
      <c r="M568" s="28">
        <f t="shared" si="58"/>
        <v>1</v>
      </c>
      <c r="N568" s="27" t="str">
        <f t="shared" si="59"/>
        <v>Alone</v>
      </c>
      <c r="O568" s="27" t="str">
        <f t="shared" si="60"/>
        <v>Low Fare</v>
      </c>
      <c r="P568" s="27" t="str">
        <f t="shared" si="61"/>
        <v>Third Class</v>
      </c>
      <c r="Q568" s="27">
        <f t="shared" si="62"/>
        <v>1</v>
      </c>
    </row>
    <row r="569" spans="1:17" x14ac:dyDescent="0.3">
      <c r="A569" s="16">
        <v>568</v>
      </c>
      <c r="B569" s="16">
        <v>0</v>
      </c>
      <c r="C569" s="16">
        <v>3</v>
      </c>
      <c r="D569" s="11" t="s">
        <v>1048</v>
      </c>
      <c r="E569" s="11" t="s">
        <v>14</v>
      </c>
      <c r="F569" s="25">
        <v>29</v>
      </c>
      <c r="G569" s="16">
        <v>0</v>
      </c>
      <c r="H569" s="16">
        <v>4</v>
      </c>
      <c r="I569" s="11" t="s">
        <v>27</v>
      </c>
      <c r="J569" s="21">
        <v>21.074999999999999</v>
      </c>
      <c r="K569" s="27" t="str">
        <f t="shared" si="56"/>
        <v>Died</v>
      </c>
      <c r="L569" s="27" t="str">
        <f t="shared" si="57"/>
        <v>Young Adult</v>
      </c>
      <c r="M569" s="28">
        <f t="shared" si="58"/>
        <v>5</v>
      </c>
      <c r="N569" s="27" t="str">
        <f t="shared" si="59"/>
        <v>Large Family</v>
      </c>
      <c r="O569" s="27" t="str">
        <f t="shared" si="60"/>
        <v>Low Fare</v>
      </c>
      <c r="P569" s="27" t="str">
        <f t="shared" si="61"/>
        <v>Third Class</v>
      </c>
      <c r="Q569" s="27">
        <f t="shared" si="62"/>
        <v>2</v>
      </c>
    </row>
    <row r="570" spans="1:17" x14ac:dyDescent="0.3">
      <c r="A570" s="15">
        <v>569</v>
      </c>
      <c r="B570" s="15">
        <v>0</v>
      </c>
      <c r="C570" s="15">
        <v>3</v>
      </c>
      <c r="D570" s="8" t="s">
        <v>1049</v>
      </c>
      <c r="E570" s="8" t="s">
        <v>11</v>
      </c>
      <c r="F570" s="24">
        <v>26</v>
      </c>
      <c r="G570" s="15">
        <v>0</v>
      </c>
      <c r="H570" s="15">
        <v>0</v>
      </c>
      <c r="I570" s="8" t="s">
        <v>1050</v>
      </c>
      <c r="J570" s="20">
        <v>7.2291999999999996</v>
      </c>
      <c r="K570" s="27" t="str">
        <f t="shared" si="56"/>
        <v>Died</v>
      </c>
      <c r="L570" s="27" t="str">
        <f t="shared" si="57"/>
        <v>Young Adult</v>
      </c>
      <c r="M570" s="28">
        <f t="shared" si="58"/>
        <v>1</v>
      </c>
      <c r="N570" s="27" t="str">
        <f t="shared" si="59"/>
        <v>Alone</v>
      </c>
      <c r="O570" s="27" t="str">
        <f t="shared" si="60"/>
        <v>Low Fare</v>
      </c>
      <c r="P570" s="27" t="str">
        <f t="shared" si="61"/>
        <v>Third Class</v>
      </c>
      <c r="Q570" s="27">
        <f t="shared" si="62"/>
        <v>1</v>
      </c>
    </row>
    <row r="571" spans="1:17" x14ac:dyDescent="0.3">
      <c r="A571" s="16">
        <v>570</v>
      </c>
      <c r="B571" s="16">
        <v>1</v>
      </c>
      <c r="C571" s="16">
        <v>3</v>
      </c>
      <c r="D571" s="11" t="s">
        <v>1051</v>
      </c>
      <c r="E571" s="11" t="s">
        <v>11</v>
      </c>
      <c r="F571" s="25">
        <v>32</v>
      </c>
      <c r="G571" s="16">
        <v>0</v>
      </c>
      <c r="H571" s="16">
        <v>0</v>
      </c>
      <c r="I571" s="11" t="s">
        <v>1052</v>
      </c>
      <c r="J571" s="21">
        <v>7.8541999999999996</v>
      </c>
      <c r="K571" s="27" t="str">
        <f t="shared" si="56"/>
        <v>Survived</v>
      </c>
      <c r="L571" s="27" t="str">
        <f t="shared" si="57"/>
        <v>Young Adult</v>
      </c>
      <c r="M571" s="28">
        <f t="shared" si="58"/>
        <v>1</v>
      </c>
      <c r="N571" s="27" t="str">
        <f t="shared" si="59"/>
        <v>Alone</v>
      </c>
      <c r="O571" s="27" t="str">
        <f t="shared" si="60"/>
        <v>Low Fare</v>
      </c>
      <c r="P571" s="27" t="str">
        <f t="shared" si="61"/>
        <v>Third Class</v>
      </c>
      <c r="Q571" s="27">
        <f t="shared" si="62"/>
        <v>1</v>
      </c>
    </row>
    <row r="572" spans="1:17" x14ac:dyDescent="0.3">
      <c r="A572" s="15">
        <v>571</v>
      </c>
      <c r="B572" s="15">
        <v>1</v>
      </c>
      <c r="C572" s="15">
        <v>2</v>
      </c>
      <c r="D572" s="8" t="s">
        <v>1053</v>
      </c>
      <c r="E572" s="8" t="s">
        <v>11</v>
      </c>
      <c r="F572" s="24">
        <v>62</v>
      </c>
      <c r="G572" s="15">
        <v>0</v>
      </c>
      <c r="H572" s="15">
        <v>0</v>
      </c>
      <c r="I572" s="8" t="s">
        <v>1054</v>
      </c>
      <c r="J572" s="20">
        <v>10.5</v>
      </c>
      <c r="K572" s="27" t="str">
        <f t="shared" si="56"/>
        <v>Survived</v>
      </c>
      <c r="L572" s="27" t="str">
        <f t="shared" si="57"/>
        <v>Senior</v>
      </c>
      <c r="M572" s="28">
        <f t="shared" si="58"/>
        <v>1</v>
      </c>
      <c r="N572" s="27" t="str">
        <f t="shared" si="59"/>
        <v>Alone</v>
      </c>
      <c r="O572" s="27" t="str">
        <f t="shared" si="60"/>
        <v>Low Fare</v>
      </c>
      <c r="P572" s="27" t="str">
        <f t="shared" si="61"/>
        <v>Second Class</v>
      </c>
      <c r="Q572" s="27">
        <f t="shared" si="62"/>
        <v>1</v>
      </c>
    </row>
    <row r="573" spans="1:17" x14ac:dyDescent="0.3">
      <c r="A573" s="16">
        <v>572</v>
      </c>
      <c r="B573" s="16">
        <v>1</v>
      </c>
      <c r="C573" s="16">
        <v>1</v>
      </c>
      <c r="D573" s="11" t="s">
        <v>1055</v>
      </c>
      <c r="E573" s="11" t="s">
        <v>14</v>
      </c>
      <c r="F573" s="25">
        <v>53</v>
      </c>
      <c r="G573" s="16">
        <v>2</v>
      </c>
      <c r="H573" s="16">
        <v>0</v>
      </c>
      <c r="I573" s="11" t="s">
        <v>1056</v>
      </c>
      <c r="J573" s="21">
        <v>51.479199999999999</v>
      </c>
      <c r="K573" s="27" t="str">
        <f t="shared" si="56"/>
        <v>Survived</v>
      </c>
      <c r="L573" s="27" t="str">
        <f t="shared" si="57"/>
        <v>Adult</v>
      </c>
      <c r="M573" s="28">
        <f t="shared" si="58"/>
        <v>3</v>
      </c>
      <c r="N573" s="27" t="str">
        <f t="shared" si="59"/>
        <v>Small Family</v>
      </c>
      <c r="O573" s="27" t="str">
        <f t="shared" si="60"/>
        <v>Medium Fare</v>
      </c>
      <c r="P573" s="27" t="str">
        <f t="shared" si="61"/>
        <v>First Class</v>
      </c>
      <c r="Q573" s="27">
        <f t="shared" si="62"/>
        <v>2</v>
      </c>
    </row>
    <row r="574" spans="1:17" x14ac:dyDescent="0.3">
      <c r="A574" s="15">
        <v>573</v>
      </c>
      <c r="B574" s="15">
        <v>1</v>
      </c>
      <c r="C574" s="15">
        <v>1</v>
      </c>
      <c r="D574" s="8" t="s">
        <v>1057</v>
      </c>
      <c r="E574" s="8" t="s">
        <v>11</v>
      </c>
      <c r="F574" s="24">
        <v>36</v>
      </c>
      <c r="G574" s="15">
        <v>0</v>
      </c>
      <c r="H574" s="15">
        <v>0</v>
      </c>
      <c r="I574" s="8" t="s">
        <v>1058</v>
      </c>
      <c r="J574" s="20">
        <v>26.387499999999999</v>
      </c>
      <c r="K574" s="27" t="str">
        <f t="shared" si="56"/>
        <v>Survived</v>
      </c>
      <c r="L574" s="27" t="str">
        <f t="shared" si="57"/>
        <v>Adult</v>
      </c>
      <c r="M574" s="28">
        <f t="shared" si="58"/>
        <v>1</v>
      </c>
      <c r="N574" s="27" t="str">
        <f t="shared" si="59"/>
        <v>Alone</v>
      </c>
      <c r="O574" s="27" t="str">
        <f t="shared" si="60"/>
        <v>Medium Fare</v>
      </c>
      <c r="P574" s="27" t="str">
        <f t="shared" si="61"/>
        <v>First Class</v>
      </c>
      <c r="Q574" s="27">
        <f t="shared" si="62"/>
        <v>1</v>
      </c>
    </row>
    <row r="575" spans="1:17" x14ac:dyDescent="0.3">
      <c r="A575" s="16">
        <v>574</v>
      </c>
      <c r="B575" s="16">
        <v>1</v>
      </c>
      <c r="C575" s="16">
        <v>3</v>
      </c>
      <c r="D575" s="11" t="s">
        <v>1059</v>
      </c>
      <c r="E575" s="11" t="s">
        <v>14</v>
      </c>
      <c r="F575" s="25">
        <v>26</v>
      </c>
      <c r="G575" s="16">
        <v>0</v>
      </c>
      <c r="H575" s="16">
        <v>0</v>
      </c>
      <c r="I575" s="11" t="s">
        <v>1060</v>
      </c>
      <c r="J575" s="21">
        <v>7.75</v>
      </c>
      <c r="K575" s="27" t="str">
        <f t="shared" si="56"/>
        <v>Survived</v>
      </c>
      <c r="L575" s="27" t="str">
        <f t="shared" si="57"/>
        <v>Young Adult</v>
      </c>
      <c r="M575" s="28">
        <f t="shared" si="58"/>
        <v>1</v>
      </c>
      <c r="N575" s="27" t="str">
        <f t="shared" si="59"/>
        <v>Alone</v>
      </c>
      <c r="O575" s="27" t="str">
        <f t="shared" si="60"/>
        <v>Low Fare</v>
      </c>
      <c r="P575" s="27" t="str">
        <f t="shared" si="61"/>
        <v>Third Class</v>
      </c>
      <c r="Q575" s="27">
        <f t="shared" si="62"/>
        <v>2</v>
      </c>
    </row>
    <row r="576" spans="1:17" x14ac:dyDescent="0.3">
      <c r="A576" s="15">
        <v>575</v>
      </c>
      <c r="B576" s="15">
        <v>0</v>
      </c>
      <c r="C576" s="15">
        <v>3</v>
      </c>
      <c r="D576" s="8" t="s">
        <v>1061</v>
      </c>
      <c r="E576" s="8" t="s">
        <v>11</v>
      </c>
      <c r="F576" s="24">
        <v>16</v>
      </c>
      <c r="G576" s="15">
        <v>0</v>
      </c>
      <c r="H576" s="15">
        <v>0</v>
      </c>
      <c r="I576" s="8" t="s">
        <v>1062</v>
      </c>
      <c r="J576" s="20">
        <v>8.0500000000000007</v>
      </c>
      <c r="K576" s="27" t="str">
        <f t="shared" si="56"/>
        <v>Died</v>
      </c>
      <c r="L576" s="27" t="str">
        <f t="shared" si="57"/>
        <v>Child</v>
      </c>
      <c r="M576" s="28">
        <f t="shared" si="58"/>
        <v>1</v>
      </c>
      <c r="N576" s="27" t="str">
        <f t="shared" si="59"/>
        <v>Alone</v>
      </c>
      <c r="O576" s="27" t="str">
        <f t="shared" si="60"/>
        <v>Low Fare</v>
      </c>
      <c r="P576" s="27" t="str">
        <f t="shared" si="61"/>
        <v>Third Class</v>
      </c>
      <c r="Q576" s="27">
        <f t="shared" si="62"/>
        <v>1</v>
      </c>
    </row>
    <row r="577" spans="1:17" x14ac:dyDescent="0.3">
      <c r="A577" s="16">
        <v>576</v>
      </c>
      <c r="B577" s="16">
        <v>0</v>
      </c>
      <c r="C577" s="16">
        <v>3</v>
      </c>
      <c r="D577" s="11" t="s">
        <v>1063</v>
      </c>
      <c r="E577" s="11" t="s">
        <v>11</v>
      </c>
      <c r="F577" s="25">
        <v>19</v>
      </c>
      <c r="G577" s="16">
        <v>0</v>
      </c>
      <c r="H577" s="16">
        <v>0</v>
      </c>
      <c r="I577" s="11" t="s">
        <v>1064</v>
      </c>
      <c r="J577" s="21">
        <v>14.5</v>
      </c>
      <c r="K577" s="27" t="str">
        <f t="shared" si="56"/>
        <v>Died</v>
      </c>
      <c r="L577" s="27" t="str">
        <f t="shared" si="57"/>
        <v>Young Adult</v>
      </c>
      <c r="M577" s="28">
        <f t="shared" si="58"/>
        <v>1</v>
      </c>
      <c r="N577" s="27" t="str">
        <f t="shared" si="59"/>
        <v>Alone</v>
      </c>
      <c r="O577" s="27" t="str">
        <f t="shared" si="60"/>
        <v>Low Fare</v>
      </c>
      <c r="P577" s="27" t="str">
        <f t="shared" si="61"/>
        <v>Third Class</v>
      </c>
      <c r="Q577" s="27">
        <f t="shared" si="62"/>
        <v>1</v>
      </c>
    </row>
    <row r="578" spans="1:17" x14ac:dyDescent="0.3">
      <c r="A578" s="15">
        <v>577</v>
      </c>
      <c r="B578" s="15">
        <v>1</v>
      </c>
      <c r="C578" s="15">
        <v>2</v>
      </c>
      <c r="D578" s="8" t="s">
        <v>1065</v>
      </c>
      <c r="E578" s="8" t="s">
        <v>14</v>
      </c>
      <c r="F578" s="24">
        <v>34</v>
      </c>
      <c r="G578" s="15">
        <v>0</v>
      </c>
      <c r="H578" s="15">
        <v>0</v>
      </c>
      <c r="I578" s="8" t="s">
        <v>1066</v>
      </c>
      <c r="J578" s="20">
        <v>13</v>
      </c>
      <c r="K578" s="27" t="str">
        <f t="shared" ref="K578:K641" si="63">IF(B578=1, "Survived", "Died")</f>
        <v>Survived</v>
      </c>
      <c r="L578" s="27" t="str">
        <f t="shared" ref="L578:L641" si="64">IF(F578&lt;18, "Child", IF(F578&lt;35, "Young Adult", IF(F578&lt;60, "Adult", "Senior")))</f>
        <v>Young Adult</v>
      </c>
      <c r="M578" s="28">
        <f t="shared" ref="M578:M641" si="65">G578+H578+1</f>
        <v>1</v>
      </c>
      <c r="N578" s="27" t="str">
        <f t="shared" ref="N578:N641" si="66">IF(M578=1,"Alone",IF(M578&lt;=4,"Small Family","Large Family"))</f>
        <v>Alone</v>
      </c>
      <c r="O578" s="27" t="str">
        <f t="shared" ref="O578:O641" si="67">IF(J578&lt;25, "Low Fare", IF(J578&lt;=100, "Medium Fare", "High Fare"))</f>
        <v>Low Fare</v>
      </c>
      <c r="P578" s="27" t="str">
        <f t="shared" ref="P578:P641" si="68">IF(C578=1, "First Class", IF(C578=2, "Second Class", "Third Class"))</f>
        <v>Second Class</v>
      </c>
      <c r="Q578" s="27">
        <f t="shared" ref="Q578:Q641" si="69">IF(E578="male", 1, 2)</f>
        <v>2</v>
      </c>
    </row>
    <row r="579" spans="1:17" x14ac:dyDescent="0.3">
      <c r="A579" s="16">
        <v>578</v>
      </c>
      <c r="B579" s="16">
        <v>1</v>
      </c>
      <c r="C579" s="16">
        <v>1</v>
      </c>
      <c r="D579" s="11" t="s">
        <v>1067</v>
      </c>
      <c r="E579" s="11" t="s">
        <v>14</v>
      </c>
      <c r="F579" s="25">
        <v>39</v>
      </c>
      <c r="G579" s="16">
        <v>1</v>
      </c>
      <c r="H579" s="16">
        <v>0</v>
      </c>
      <c r="I579" s="11" t="s">
        <v>818</v>
      </c>
      <c r="J579" s="21">
        <v>55.9</v>
      </c>
      <c r="K579" s="27" t="str">
        <f t="shared" si="63"/>
        <v>Survived</v>
      </c>
      <c r="L579" s="27" t="str">
        <f t="shared" si="64"/>
        <v>Adult</v>
      </c>
      <c r="M579" s="28">
        <f t="shared" si="65"/>
        <v>2</v>
      </c>
      <c r="N579" s="27" t="str">
        <f t="shared" si="66"/>
        <v>Small Family</v>
      </c>
      <c r="O579" s="27" t="str">
        <f t="shared" si="67"/>
        <v>Medium Fare</v>
      </c>
      <c r="P579" s="27" t="str">
        <f t="shared" si="68"/>
        <v>First Class</v>
      </c>
      <c r="Q579" s="27">
        <f t="shared" si="69"/>
        <v>2</v>
      </c>
    </row>
    <row r="580" spans="1:17" x14ac:dyDescent="0.3">
      <c r="A580" s="15">
        <v>579</v>
      </c>
      <c r="B580" s="15">
        <v>0</v>
      </c>
      <c r="C580" s="15">
        <v>3</v>
      </c>
      <c r="D580" s="8" t="s">
        <v>1068</v>
      </c>
      <c r="E580" s="8" t="s">
        <v>14</v>
      </c>
      <c r="F580" s="24">
        <v>26</v>
      </c>
      <c r="G580" s="15">
        <v>1</v>
      </c>
      <c r="H580" s="15">
        <v>0</v>
      </c>
      <c r="I580" s="8" t="s">
        <v>1069</v>
      </c>
      <c r="J580" s="20">
        <v>14.458299999999999</v>
      </c>
      <c r="K580" s="27" t="str">
        <f t="shared" si="63"/>
        <v>Died</v>
      </c>
      <c r="L580" s="27" t="str">
        <f t="shared" si="64"/>
        <v>Young Adult</v>
      </c>
      <c r="M580" s="28">
        <f t="shared" si="65"/>
        <v>2</v>
      </c>
      <c r="N580" s="27" t="str">
        <f t="shared" si="66"/>
        <v>Small Family</v>
      </c>
      <c r="O580" s="27" t="str">
        <f t="shared" si="67"/>
        <v>Low Fare</v>
      </c>
      <c r="P580" s="27" t="str">
        <f t="shared" si="68"/>
        <v>Third Class</v>
      </c>
      <c r="Q580" s="27">
        <f t="shared" si="69"/>
        <v>2</v>
      </c>
    </row>
    <row r="581" spans="1:17" x14ac:dyDescent="0.3">
      <c r="A581" s="16">
        <v>580</v>
      </c>
      <c r="B581" s="16">
        <v>1</v>
      </c>
      <c r="C581" s="16">
        <v>3</v>
      </c>
      <c r="D581" s="11" t="s">
        <v>1070</v>
      </c>
      <c r="E581" s="11" t="s">
        <v>11</v>
      </c>
      <c r="F581" s="25">
        <v>32</v>
      </c>
      <c r="G581" s="16">
        <v>0</v>
      </c>
      <c r="H581" s="16">
        <v>0</v>
      </c>
      <c r="I581" s="11" t="s">
        <v>1071</v>
      </c>
      <c r="J581" s="21">
        <v>7.9249999999999998</v>
      </c>
      <c r="K581" s="27" t="str">
        <f t="shared" si="63"/>
        <v>Survived</v>
      </c>
      <c r="L581" s="27" t="str">
        <f t="shared" si="64"/>
        <v>Young Adult</v>
      </c>
      <c r="M581" s="28">
        <f t="shared" si="65"/>
        <v>1</v>
      </c>
      <c r="N581" s="27" t="str">
        <f t="shared" si="66"/>
        <v>Alone</v>
      </c>
      <c r="O581" s="27" t="str">
        <f t="shared" si="67"/>
        <v>Low Fare</v>
      </c>
      <c r="P581" s="27" t="str">
        <f t="shared" si="68"/>
        <v>Third Class</v>
      </c>
      <c r="Q581" s="27">
        <f t="shared" si="69"/>
        <v>1</v>
      </c>
    </row>
    <row r="582" spans="1:17" x14ac:dyDescent="0.3">
      <c r="A582" s="15">
        <v>581</v>
      </c>
      <c r="B582" s="15">
        <v>1</v>
      </c>
      <c r="C582" s="15">
        <v>2</v>
      </c>
      <c r="D582" s="8" t="s">
        <v>1072</v>
      </c>
      <c r="E582" s="8" t="s">
        <v>14</v>
      </c>
      <c r="F582" s="24">
        <v>25</v>
      </c>
      <c r="G582" s="15">
        <v>1</v>
      </c>
      <c r="H582" s="15">
        <v>1</v>
      </c>
      <c r="I582" s="8" t="s">
        <v>1073</v>
      </c>
      <c r="J582" s="20">
        <v>30</v>
      </c>
      <c r="K582" s="27" t="str">
        <f t="shared" si="63"/>
        <v>Survived</v>
      </c>
      <c r="L582" s="27" t="str">
        <f t="shared" si="64"/>
        <v>Young Adult</v>
      </c>
      <c r="M582" s="28">
        <f t="shared" si="65"/>
        <v>3</v>
      </c>
      <c r="N582" s="27" t="str">
        <f t="shared" si="66"/>
        <v>Small Family</v>
      </c>
      <c r="O582" s="27" t="str">
        <f t="shared" si="67"/>
        <v>Medium Fare</v>
      </c>
      <c r="P582" s="27" t="str">
        <f t="shared" si="68"/>
        <v>Second Class</v>
      </c>
      <c r="Q582" s="27">
        <f t="shared" si="69"/>
        <v>2</v>
      </c>
    </row>
    <row r="583" spans="1:17" x14ac:dyDescent="0.3">
      <c r="A583" s="16">
        <v>582</v>
      </c>
      <c r="B583" s="16">
        <v>1</v>
      </c>
      <c r="C583" s="16">
        <v>1</v>
      </c>
      <c r="D583" s="11" t="s">
        <v>1074</v>
      </c>
      <c r="E583" s="11" t="s">
        <v>14</v>
      </c>
      <c r="F583" s="25">
        <v>39</v>
      </c>
      <c r="G583" s="16">
        <v>1</v>
      </c>
      <c r="H583" s="16">
        <v>1</v>
      </c>
      <c r="I583" s="11" t="s">
        <v>591</v>
      </c>
      <c r="J583" s="21">
        <v>110.88330000000001</v>
      </c>
      <c r="K583" s="27" t="str">
        <f t="shared" si="63"/>
        <v>Survived</v>
      </c>
      <c r="L583" s="27" t="str">
        <f t="shared" si="64"/>
        <v>Adult</v>
      </c>
      <c r="M583" s="28">
        <f t="shared" si="65"/>
        <v>3</v>
      </c>
      <c r="N583" s="27" t="str">
        <f t="shared" si="66"/>
        <v>Small Family</v>
      </c>
      <c r="O583" s="27" t="str">
        <f t="shared" si="67"/>
        <v>High Fare</v>
      </c>
      <c r="P583" s="27" t="str">
        <f t="shared" si="68"/>
        <v>First Class</v>
      </c>
      <c r="Q583" s="27">
        <f t="shared" si="69"/>
        <v>2</v>
      </c>
    </row>
    <row r="584" spans="1:17" x14ac:dyDescent="0.3">
      <c r="A584" s="15">
        <v>583</v>
      </c>
      <c r="B584" s="15">
        <v>0</v>
      </c>
      <c r="C584" s="15">
        <v>2</v>
      </c>
      <c r="D584" s="8" t="s">
        <v>1075</v>
      </c>
      <c r="E584" s="8" t="s">
        <v>11</v>
      </c>
      <c r="F584" s="24">
        <v>54</v>
      </c>
      <c r="G584" s="15">
        <v>0</v>
      </c>
      <c r="H584" s="15">
        <v>0</v>
      </c>
      <c r="I584" s="8" t="s">
        <v>749</v>
      </c>
      <c r="J584" s="20">
        <v>26</v>
      </c>
      <c r="K584" s="27" t="str">
        <f t="shared" si="63"/>
        <v>Died</v>
      </c>
      <c r="L584" s="27" t="str">
        <f t="shared" si="64"/>
        <v>Adult</v>
      </c>
      <c r="M584" s="28">
        <f t="shared" si="65"/>
        <v>1</v>
      </c>
      <c r="N584" s="27" t="str">
        <f t="shared" si="66"/>
        <v>Alone</v>
      </c>
      <c r="O584" s="27" t="str">
        <f t="shared" si="67"/>
        <v>Medium Fare</v>
      </c>
      <c r="P584" s="27" t="str">
        <f t="shared" si="68"/>
        <v>Second Class</v>
      </c>
      <c r="Q584" s="27">
        <f t="shared" si="69"/>
        <v>1</v>
      </c>
    </row>
    <row r="585" spans="1:17" x14ac:dyDescent="0.3">
      <c r="A585" s="16">
        <v>584</v>
      </c>
      <c r="B585" s="16">
        <v>0</v>
      </c>
      <c r="C585" s="16">
        <v>1</v>
      </c>
      <c r="D585" s="11" t="s">
        <v>1076</v>
      </c>
      <c r="E585" s="11" t="s">
        <v>11</v>
      </c>
      <c r="F585" s="25">
        <v>36</v>
      </c>
      <c r="G585" s="16">
        <v>0</v>
      </c>
      <c r="H585" s="16">
        <v>0</v>
      </c>
      <c r="I585" s="11" t="s">
        <v>1077</v>
      </c>
      <c r="J585" s="21">
        <v>40.125</v>
      </c>
      <c r="K585" s="27" t="str">
        <f t="shared" si="63"/>
        <v>Died</v>
      </c>
      <c r="L585" s="27" t="str">
        <f t="shared" si="64"/>
        <v>Adult</v>
      </c>
      <c r="M585" s="28">
        <f t="shared" si="65"/>
        <v>1</v>
      </c>
      <c r="N585" s="27" t="str">
        <f t="shared" si="66"/>
        <v>Alone</v>
      </c>
      <c r="O585" s="27" t="str">
        <f t="shared" si="67"/>
        <v>Medium Fare</v>
      </c>
      <c r="P585" s="27" t="str">
        <f t="shared" si="68"/>
        <v>First Class</v>
      </c>
      <c r="Q585" s="27">
        <f t="shared" si="69"/>
        <v>1</v>
      </c>
    </row>
    <row r="586" spans="1:17" x14ac:dyDescent="0.3">
      <c r="A586" s="15">
        <v>585</v>
      </c>
      <c r="B586" s="15">
        <v>0</v>
      </c>
      <c r="C586" s="15">
        <v>3</v>
      </c>
      <c r="D586" s="8" t="s">
        <v>1078</v>
      </c>
      <c r="E586" s="8" t="s">
        <v>11</v>
      </c>
      <c r="F586" s="24">
        <v>26</v>
      </c>
      <c r="G586" s="15">
        <v>0</v>
      </c>
      <c r="H586" s="15">
        <v>0</v>
      </c>
      <c r="I586" s="8" t="s">
        <v>1079</v>
      </c>
      <c r="J586" s="20">
        <v>8.7125000000000004</v>
      </c>
      <c r="K586" s="27" t="str">
        <f t="shared" si="63"/>
        <v>Died</v>
      </c>
      <c r="L586" s="27" t="str">
        <f t="shared" si="64"/>
        <v>Young Adult</v>
      </c>
      <c r="M586" s="28">
        <f t="shared" si="65"/>
        <v>1</v>
      </c>
      <c r="N586" s="27" t="str">
        <f t="shared" si="66"/>
        <v>Alone</v>
      </c>
      <c r="O586" s="27" t="str">
        <f t="shared" si="67"/>
        <v>Low Fare</v>
      </c>
      <c r="P586" s="27" t="str">
        <f t="shared" si="68"/>
        <v>Third Class</v>
      </c>
      <c r="Q586" s="27">
        <f t="shared" si="69"/>
        <v>1</v>
      </c>
    </row>
    <row r="587" spans="1:17" x14ac:dyDescent="0.3">
      <c r="A587" s="16">
        <v>586</v>
      </c>
      <c r="B587" s="16">
        <v>1</v>
      </c>
      <c r="C587" s="16">
        <v>1</v>
      </c>
      <c r="D587" s="11" t="s">
        <v>1080</v>
      </c>
      <c r="E587" s="11" t="s">
        <v>14</v>
      </c>
      <c r="F587" s="25">
        <v>18</v>
      </c>
      <c r="G587" s="16">
        <v>0</v>
      </c>
      <c r="H587" s="16">
        <v>2</v>
      </c>
      <c r="I587" s="11" t="s">
        <v>509</v>
      </c>
      <c r="J587" s="21">
        <v>79.650000000000006</v>
      </c>
      <c r="K587" s="27" t="str">
        <f t="shared" si="63"/>
        <v>Survived</v>
      </c>
      <c r="L587" s="27" t="str">
        <f t="shared" si="64"/>
        <v>Young Adult</v>
      </c>
      <c r="M587" s="28">
        <f t="shared" si="65"/>
        <v>3</v>
      </c>
      <c r="N587" s="27" t="str">
        <f t="shared" si="66"/>
        <v>Small Family</v>
      </c>
      <c r="O587" s="27" t="str">
        <f t="shared" si="67"/>
        <v>Medium Fare</v>
      </c>
      <c r="P587" s="27" t="str">
        <f t="shared" si="68"/>
        <v>First Class</v>
      </c>
      <c r="Q587" s="27">
        <f t="shared" si="69"/>
        <v>2</v>
      </c>
    </row>
    <row r="588" spans="1:17" x14ac:dyDescent="0.3">
      <c r="A588" s="15">
        <v>587</v>
      </c>
      <c r="B588" s="15">
        <v>0</v>
      </c>
      <c r="C588" s="15">
        <v>2</v>
      </c>
      <c r="D588" s="8" t="s">
        <v>1081</v>
      </c>
      <c r="E588" s="8" t="s">
        <v>11</v>
      </c>
      <c r="F588" s="24">
        <v>47</v>
      </c>
      <c r="G588" s="15">
        <v>0</v>
      </c>
      <c r="H588" s="15">
        <v>0</v>
      </c>
      <c r="I588" s="8" t="s">
        <v>1082</v>
      </c>
      <c r="J588" s="20">
        <v>15</v>
      </c>
      <c r="K588" s="27" t="str">
        <f t="shared" si="63"/>
        <v>Died</v>
      </c>
      <c r="L588" s="27" t="str">
        <f t="shared" si="64"/>
        <v>Adult</v>
      </c>
      <c r="M588" s="28">
        <f t="shared" si="65"/>
        <v>1</v>
      </c>
      <c r="N588" s="27" t="str">
        <f t="shared" si="66"/>
        <v>Alone</v>
      </c>
      <c r="O588" s="27" t="str">
        <f t="shared" si="67"/>
        <v>Low Fare</v>
      </c>
      <c r="P588" s="27" t="str">
        <f t="shared" si="68"/>
        <v>Second Class</v>
      </c>
      <c r="Q588" s="27">
        <f t="shared" si="69"/>
        <v>1</v>
      </c>
    </row>
    <row r="589" spans="1:17" x14ac:dyDescent="0.3">
      <c r="A589" s="16">
        <v>588</v>
      </c>
      <c r="B589" s="16">
        <v>1</v>
      </c>
      <c r="C589" s="16">
        <v>1</v>
      </c>
      <c r="D589" s="11" t="s">
        <v>1083</v>
      </c>
      <c r="E589" s="11" t="s">
        <v>11</v>
      </c>
      <c r="F589" s="25">
        <v>60</v>
      </c>
      <c r="G589" s="16">
        <v>1</v>
      </c>
      <c r="H589" s="16">
        <v>1</v>
      </c>
      <c r="I589" s="11" t="s">
        <v>1084</v>
      </c>
      <c r="J589" s="21">
        <v>79.2</v>
      </c>
      <c r="K589" s="27" t="str">
        <f t="shared" si="63"/>
        <v>Survived</v>
      </c>
      <c r="L589" s="27" t="str">
        <f t="shared" si="64"/>
        <v>Senior</v>
      </c>
      <c r="M589" s="28">
        <f t="shared" si="65"/>
        <v>3</v>
      </c>
      <c r="N589" s="27" t="str">
        <f t="shared" si="66"/>
        <v>Small Family</v>
      </c>
      <c r="O589" s="27" t="str">
        <f t="shared" si="67"/>
        <v>Medium Fare</v>
      </c>
      <c r="P589" s="27" t="str">
        <f t="shared" si="68"/>
        <v>First Class</v>
      </c>
      <c r="Q589" s="27">
        <f t="shared" si="69"/>
        <v>1</v>
      </c>
    </row>
    <row r="590" spans="1:17" x14ac:dyDescent="0.3">
      <c r="A590" s="15">
        <v>589</v>
      </c>
      <c r="B590" s="15">
        <v>0</v>
      </c>
      <c r="C590" s="15">
        <v>3</v>
      </c>
      <c r="D590" s="8" t="s">
        <v>1085</v>
      </c>
      <c r="E590" s="8" t="s">
        <v>11</v>
      </c>
      <c r="F590" s="24">
        <v>22</v>
      </c>
      <c r="G590" s="15">
        <v>0</v>
      </c>
      <c r="H590" s="15">
        <v>0</v>
      </c>
      <c r="I590" s="8" t="s">
        <v>1086</v>
      </c>
      <c r="J590" s="20">
        <v>8.0500000000000007</v>
      </c>
      <c r="K590" s="27" t="str">
        <f t="shared" si="63"/>
        <v>Died</v>
      </c>
      <c r="L590" s="27" t="str">
        <f t="shared" si="64"/>
        <v>Young Adult</v>
      </c>
      <c r="M590" s="28">
        <f t="shared" si="65"/>
        <v>1</v>
      </c>
      <c r="N590" s="27" t="str">
        <f t="shared" si="66"/>
        <v>Alone</v>
      </c>
      <c r="O590" s="27" t="str">
        <f t="shared" si="67"/>
        <v>Low Fare</v>
      </c>
      <c r="P590" s="27" t="str">
        <f t="shared" si="68"/>
        <v>Third Class</v>
      </c>
      <c r="Q590" s="27">
        <f t="shared" si="69"/>
        <v>1</v>
      </c>
    </row>
    <row r="591" spans="1:17" x14ac:dyDescent="0.3">
      <c r="A591" s="16">
        <v>590</v>
      </c>
      <c r="B591" s="16">
        <v>0</v>
      </c>
      <c r="C591" s="16">
        <v>3</v>
      </c>
      <c r="D591" s="11" t="s">
        <v>1087</v>
      </c>
      <c r="E591" s="11" t="s">
        <v>11</v>
      </c>
      <c r="F591" s="25">
        <v>26</v>
      </c>
      <c r="G591" s="16">
        <v>0</v>
      </c>
      <c r="H591" s="16">
        <v>0</v>
      </c>
      <c r="I591" s="11" t="s">
        <v>1088</v>
      </c>
      <c r="J591" s="21">
        <v>8.0500000000000007</v>
      </c>
      <c r="K591" s="27" t="str">
        <f t="shared" si="63"/>
        <v>Died</v>
      </c>
      <c r="L591" s="27" t="str">
        <f t="shared" si="64"/>
        <v>Young Adult</v>
      </c>
      <c r="M591" s="28">
        <f t="shared" si="65"/>
        <v>1</v>
      </c>
      <c r="N591" s="27" t="str">
        <f t="shared" si="66"/>
        <v>Alone</v>
      </c>
      <c r="O591" s="27" t="str">
        <f t="shared" si="67"/>
        <v>Low Fare</v>
      </c>
      <c r="P591" s="27" t="str">
        <f t="shared" si="68"/>
        <v>Third Class</v>
      </c>
      <c r="Q591" s="27">
        <f t="shared" si="69"/>
        <v>1</v>
      </c>
    </row>
    <row r="592" spans="1:17" x14ac:dyDescent="0.3">
      <c r="A592" s="15">
        <v>591</v>
      </c>
      <c r="B592" s="15">
        <v>0</v>
      </c>
      <c r="C592" s="15">
        <v>3</v>
      </c>
      <c r="D592" s="8" t="s">
        <v>1089</v>
      </c>
      <c r="E592" s="8" t="s">
        <v>11</v>
      </c>
      <c r="F592" s="24">
        <v>35</v>
      </c>
      <c r="G592" s="15">
        <v>0</v>
      </c>
      <c r="H592" s="15">
        <v>0</v>
      </c>
      <c r="I592" s="8" t="s">
        <v>1090</v>
      </c>
      <c r="J592" s="20">
        <v>7.125</v>
      </c>
      <c r="K592" s="27" t="str">
        <f t="shared" si="63"/>
        <v>Died</v>
      </c>
      <c r="L592" s="27" t="str">
        <f t="shared" si="64"/>
        <v>Adult</v>
      </c>
      <c r="M592" s="28">
        <f t="shared" si="65"/>
        <v>1</v>
      </c>
      <c r="N592" s="27" t="str">
        <f t="shared" si="66"/>
        <v>Alone</v>
      </c>
      <c r="O592" s="27" t="str">
        <f t="shared" si="67"/>
        <v>Low Fare</v>
      </c>
      <c r="P592" s="27" t="str">
        <f t="shared" si="68"/>
        <v>Third Class</v>
      </c>
      <c r="Q592" s="27">
        <f t="shared" si="69"/>
        <v>1</v>
      </c>
    </row>
    <row r="593" spans="1:17" x14ac:dyDescent="0.3">
      <c r="A593" s="16">
        <v>592</v>
      </c>
      <c r="B593" s="16">
        <v>1</v>
      </c>
      <c r="C593" s="16">
        <v>1</v>
      </c>
      <c r="D593" s="11" t="s">
        <v>1091</v>
      </c>
      <c r="E593" s="11" t="s">
        <v>14</v>
      </c>
      <c r="F593" s="25">
        <v>52</v>
      </c>
      <c r="G593" s="16">
        <v>1</v>
      </c>
      <c r="H593" s="16">
        <v>0</v>
      </c>
      <c r="I593" s="11" t="s">
        <v>925</v>
      </c>
      <c r="J593" s="21">
        <v>78.2667</v>
      </c>
      <c r="K593" s="27" t="str">
        <f t="shared" si="63"/>
        <v>Survived</v>
      </c>
      <c r="L593" s="27" t="str">
        <f t="shared" si="64"/>
        <v>Adult</v>
      </c>
      <c r="M593" s="28">
        <f t="shared" si="65"/>
        <v>2</v>
      </c>
      <c r="N593" s="27" t="str">
        <f t="shared" si="66"/>
        <v>Small Family</v>
      </c>
      <c r="O593" s="27" t="str">
        <f t="shared" si="67"/>
        <v>Medium Fare</v>
      </c>
      <c r="P593" s="27" t="str">
        <f t="shared" si="68"/>
        <v>First Class</v>
      </c>
      <c r="Q593" s="27">
        <f t="shared" si="69"/>
        <v>2</v>
      </c>
    </row>
    <row r="594" spans="1:17" x14ac:dyDescent="0.3">
      <c r="A594" s="15">
        <v>593</v>
      </c>
      <c r="B594" s="15">
        <v>0</v>
      </c>
      <c r="C594" s="15">
        <v>3</v>
      </c>
      <c r="D594" s="8" t="s">
        <v>1092</v>
      </c>
      <c r="E594" s="8" t="s">
        <v>11</v>
      </c>
      <c r="F594" s="24">
        <v>47</v>
      </c>
      <c r="G594" s="15">
        <v>0</v>
      </c>
      <c r="H594" s="15">
        <v>0</v>
      </c>
      <c r="I594" s="8" t="s">
        <v>1093</v>
      </c>
      <c r="J594" s="20">
        <v>7.25</v>
      </c>
      <c r="K594" s="27" t="str">
        <f t="shared" si="63"/>
        <v>Died</v>
      </c>
      <c r="L594" s="27" t="str">
        <f t="shared" si="64"/>
        <v>Adult</v>
      </c>
      <c r="M594" s="28">
        <f t="shared" si="65"/>
        <v>1</v>
      </c>
      <c r="N594" s="27" t="str">
        <f t="shared" si="66"/>
        <v>Alone</v>
      </c>
      <c r="O594" s="27" t="str">
        <f t="shared" si="67"/>
        <v>Low Fare</v>
      </c>
      <c r="P594" s="27" t="str">
        <f t="shared" si="68"/>
        <v>Third Class</v>
      </c>
      <c r="Q594" s="27">
        <f t="shared" si="69"/>
        <v>1</v>
      </c>
    </row>
    <row r="595" spans="1:17" x14ac:dyDescent="0.3">
      <c r="A595" s="16">
        <v>594</v>
      </c>
      <c r="B595" s="16">
        <v>0</v>
      </c>
      <c r="C595" s="16">
        <v>3</v>
      </c>
      <c r="D595" s="11" t="s">
        <v>1094</v>
      </c>
      <c r="E595" s="11" t="s">
        <v>14</v>
      </c>
      <c r="F595" s="25">
        <v>26</v>
      </c>
      <c r="G595" s="16">
        <v>0</v>
      </c>
      <c r="H595" s="16">
        <v>2</v>
      </c>
      <c r="I595" s="11" t="s">
        <v>1095</v>
      </c>
      <c r="J595" s="21">
        <v>7.75</v>
      </c>
      <c r="K595" s="27" t="str">
        <f t="shared" si="63"/>
        <v>Died</v>
      </c>
      <c r="L595" s="27" t="str">
        <f t="shared" si="64"/>
        <v>Young Adult</v>
      </c>
      <c r="M595" s="28">
        <f t="shared" si="65"/>
        <v>3</v>
      </c>
      <c r="N595" s="27" t="str">
        <f t="shared" si="66"/>
        <v>Small Family</v>
      </c>
      <c r="O595" s="27" t="str">
        <f t="shared" si="67"/>
        <v>Low Fare</v>
      </c>
      <c r="P595" s="27" t="str">
        <f t="shared" si="68"/>
        <v>Third Class</v>
      </c>
      <c r="Q595" s="27">
        <f t="shared" si="69"/>
        <v>2</v>
      </c>
    </row>
    <row r="596" spans="1:17" x14ac:dyDescent="0.3">
      <c r="A596" s="15">
        <v>595</v>
      </c>
      <c r="B596" s="15">
        <v>0</v>
      </c>
      <c r="C596" s="15">
        <v>2</v>
      </c>
      <c r="D596" s="8" t="s">
        <v>1096</v>
      </c>
      <c r="E596" s="8" t="s">
        <v>11</v>
      </c>
      <c r="F596" s="24">
        <v>37</v>
      </c>
      <c r="G596" s="15">
        <v>1</v>
      </c>
      <c r="H596" s="15">
        <v>0</v>
      </c>
      <c r="I596" s="8" t="s">
        <v>1097</v>
      </c>
      <c r="J596" s="20">
        <v>26</v>
      </c>
      <c r="K596" s="27" t="str">
        <f t="shared" si="63"/>
        <v>Died</v>
      </c>
      <c r="L596" s="27" t="str">
        <f t="shared" si="64"/>
        <v>Adult</v>
      </c>
      <c r="M596" s="28">
        <f t="shared" si="65"/>
        <v>2</v>
      </c>
      <c r="N596" s="27" t="str">
        <f t="shared" si="66"/>
        <v>Small Family</v>
      </c>
      <c r="O596" s="27" t="str">
        <f t="shared" si="67"/>
        <v>Medium Fare</v>
      </c>
      <c r="P596" s="27" t="str">
        <f t="shared" si="68"/>
        <v>Second Class</v>
      </c>
      <c r="Q596" s="27">
        <f t="shared" si="69"/>
        <v>1</v>
      </c>
    </row>
    <row r="597" spans="1:17" x14ac:dyDescent="0.3">
      <c r="A597" s="16">
        <v>596</v>
      </c>
      <c r="B597" s="16">
        <v>0</v>
      </c>
      <c r="C597" s="16">
        <v>3</v>
      </c>
      <c r="D597" s="11" t="s">
        <v>1098</v>
      </c>
      <c r="E597" s="11" t="s">
        <v>11</v>
      </c>
      <c r="F597" s="25">
        <v>36</v>
      </c>
      <c r="G597" s="16">
        <v>1</v>
      </c>
      <c r="H597" s="16">
        <v>1</v>
      </c>
      <c r="I597" s="11" t="s">
        <v>789</v>
      </c>
      <c r="J597" s="21">
        <v>24.15</v>
      </c>
      <c r="K597" s="27" t="str">
        <f t="shared" si="63"/>
        <v>Died</v>
      </c>
      <c r="L597" s="27" t="str">
        <f t="shared" si="64"/>
        <v>Adult</v>
      </c>
      <c r="M597" s="28">
        <f t="shared" si="65"/>
        <v>3</v>
      </c>
      <c r="N597" s="27" t="str">
        <f t="shared" si="66"/>
        <v>Small Family</v>
      </c>
      <c r="O597" s="27" t="str">
        <f t="shared" si="67"/>
        <v>Low Fare</v>
      </c>
      <c r="P597" s="27" t="str">
        <f t="shared" si="68"/>
        <v>Third Class</v>
      </c>
      <c r="Q597" s="27">
        <f t="shared" si="69"/>
        <v>1</v>
      </c>
    </row>
    <row r="598" spans="1:17" x14ac:dyDescent="0.3">
      <c r="A598" s="15">
        <v>597</v>
      </c>
      <c r="B598" s="15">
        <v>1</v>
      </c>
      <c r="C598" s="15">
        <v>2</v>
      </c>
      <c r="D598" s="8" t="s">
        <v>1099</v>
      </c>
      <c r="E598" s="8" t="s">
        <v>14</v>
      </c>
      <c r="F598" s="24">
        <v>26</v>
      </c>
      <c r="G598" s="15">
        <v>0</v>
      </c>
      <c r="H598" s="15">
        <v>0</v>
      </c>
      <c r="I598" s="8" t="s">
        <v>1100</v>
      </c>
      <c r="J598" s="20">
        <v>33</v>
      </c>
      <c r="K598" s="27" t="str">
        <f t="shared" si="63"/>
        <v>Survived</v>
      </c>
      <c r="L598" s="27" t="str">
        <f t="shared" si="64"/>
        <v>Young Adult</v>
      </c>
      <c r="M598" s="28">
        <f t="shared" si="65"/>
        <v>1</v>
      </c>
      <c r="N598" s="27" t="str">
        <f t="shared" si="66"/>
        <v>Alone</v>
      </c>
      <c r="O598" s="27" t="str">
        <f t="shared" si="67"/>
        <v>Medium Fare</v>
      </c>
      <c r="P598" s="27" t="str">
        <f t="shared" si="68"/>
        <v>Second Class</v>
      </c>
      <c r="Q598" s="27">
        <f t="shared" si="69"/>
        <v>2</v>
      </c>
    </row>
    <row r="599" spans="1:17" x14ac:dyDescent="0.3">
      <c r="A599" s="16">
        <v>598</v>
      </c>
      <c r="B599" s="16">
        <v>0</v>
      </c>
      <c r="C599" s="16">
        <v>3</v>
      </c>
      <c r="D599" s="11" t="s">
        <v>1101</v>
      </c>
      <c r="E599" s="11" t="s">
        <v>11</v>
      </c>
      <c r="F599" s="25">
        <v>49</v>
      </c>
      <c r="G599" s="16">
        <v>0</v>
      </c>
      <c r="H599" s="16">
        <v>0</v>
      </c>
      <c r="I599" s="11" t="s">
        <v>355</v>
      </c>
      <c r="J599" s="21">
        <v>0</v>
      </c>
      <c r="K599" s="27" t="str">
        <f t="shared" si="63"/>
        <v>Died</v>
      </c>
      <c r="L599" s="27" t="str">
        <f t="shared" si="64"/>
        <v>Adult</v>
      </c>
      <c r="M599" s="28">
        <f t="shared" si="65"/>
        <v>1</v>
      </c>
      <c r="N599" s="27" t="str">
        <f t="shared" si="66"/>
        <v>Alone</v>
      </c>
      <c r="O599" s="27" t="str">
        <f t="shared" si="67"/>
        <v>Low Fare</v>
      </c>
      <c r="P599" s="27" t="str">
        <f t="shared" si="68"/>
        <v>Third Class</v>
      </c>
      <c r="Q599" s="27">
        <f t="shared" si="69"/>
        <v>1</v>
      </c>
    </row>
    <row r="600" spans="1:17" x14ac:dyDescent="0.3">
      <c r="A600" s="15">
        <v>599</v>
      </c>
      <c r="B600" s="15">
        <v>0</v>
      </c>
      <c r="C600" s="15">
        <v>3</v>
      </c>
      <c r="D600" s="8" t="s">
        <v>1102</v>
      </c>
      <c r="E600" s="8" t="s">
        <v>11</v>
      </c>
      <c r="F600" s="24">
        <v>26</v>
      </c>
      <c r="G600" s="15">
        <v>0</v>
      </c>
      <c r="H600" s="15">
        <v>0</v>
      </c>
      <c r="I600" s="8" t="s">
        <v>1103</v>
      </c>
      <c r="J600" s="20">
        <v>7.2249999999999996</v>
      </c>
      <c r="K600" s="27" t="str">
        <f t="shared" si="63"/>
        <v>Died</v>
      </c>
      <c r="L600" s="27" t="str">
        <f t="shared" si="64"/>
        <v>Young Adult</v>
      </c>
      <c r="M600" s="28">
        <f t="shared" si="65"/>
        <v>1</v>
      </c>
      <c r="N600" s="27" t="str">
        <f t="shared" si="66"/>
        <v>Alone</v>
      </c>
      <c r="O600" s="27" t="str">
        <f t="shared" si="67"/>
        <v>Low Fare</v>
      </c>
      <c r="P600" s="27" t="str">
        <f t="shared" si="68"/>
        <v>Third Class</v>
      </c>
      <c r="Q600" s="27">
        <f t="shared" si="69"/>
        <v>1</v>
      </c>
    </row>
    <row r="601" spans="1:17" x14ac:dyDescent="0.3">
      <c r="A601" s="16">
        <v>600</v>
      </c>
      <c r="B601" s="16">
        <v>1</v>
      </c>
      <c r="C601" s="16">
        <v>1</v>
      </c>
      <c r="D601" s="11" t="s">
        <v>1104</v>
      </c>
      <c r="E601" s="11" t="s">
        <v>11</v>
      </c>
      <c r="F601" s="25">
        <v>49</v>
      </c>
      <c r="G601" s="16">
        <v>1</v>
      </c>
      <c r="H601" s="16">
        <v>0</v>
      </c>
      <c r="I601" s="11" t="s">
        <v>597</v>
      </c>
      <c r="J601" s="21">
        <v>56.929200000000002</v>
      </c>
      <c r="K601" s="27" t="str">
        <f t="shared" si="63"/>
        <v>Survived</v>
      </c>
      <c r="L601" s="27" t="str">
        <f t="shared" si="64"/>
        <v>Adult</v>
      </c>
      <c r="M601" s="28">
        <f t="shared" si="65"/>
        <v>2</v>
      </c>
      <c r="N601" s="27" t="str">
        <f t="shared" si="66"/>
        <v>Small Family</v>
      </c>
      <c r="O601" s="27" t="str">
        <f t="shared" si="67"/>
        <v>Medium Fare</v>
      </c>
      <c r="P601" s="27" t="str">
        <f t="shared" si="68"/>
        <v>First Class</v>
      </c>
      <c r="Q601" s="27">
        <f t="shared" si="69"/>
        <v>1</v>
      </c>
    </row>
    <row r="602" spans="1:17" x14ac:dyDescent="0.3">
      <c r="A602" s="15">
        <v>601</v>
      </c>
      <c r="B602" s="15">
        <v>1</v>
      </c>
      <c r="C602" s="15">
        <v>2</v>
      </c>
      <c r="D602" s="8" t="s">
        <v>1105</v>
      </c>
      <c r="E602" s="8" t="s">
        <v>14</v>
      </c>
      <c r="F602" s="24">
        <v>24</v>
      </c>
      <c r="G602" s="15">
        <v>2</v>
      </c>
      <c r="H602" s="15">
        <v>1</v>
      </c>
      <c r="I602" s="8" t="s">
        <v>425</v>
      </c>
      <c r="J602" s="20">
        <v>27</v>
      </c>
      <c r="K602" s="27" t="str">
        <f t="shared" si="63"/>
        <v>Survived</v>
      </c>
      <c r="L602" s="27" t="str">
        <f t="shared" si="64"/>
        <v>Young Adult</v>
      </c>
      <c r="M602" s="28">
        <f t="shared" si="65"/>
        <v>4</v>
      </c>
      <c r="N602" s="27" t="str">
        <f t="shared" si="66"/>
        <v>Small Family</v>
      </c>
      <c r="O602" s="27" t="str">
        <f t="shared" si="67"/>
        <v>Medium Fare</v>
      </c>
      <c r="P602" s="27" t="str">
        <f t="shared" si="68"/>
        <v>Second Class</v>
      </c>
      <c r="Q602" s="27">
        <f t="shared" si="69"/>
        <v>2</v>
      </c>
    </row>
    <row r="603" spans="1:17" x14ac:dyDescent="0.3">
      <c r="A603" s="16">
        <v>602</v>
      </c>
      <c r="B603" s="16">
        <v>0</v>
      </c>
      <c r="C603" s="16">
        <v>3</v>
      </c>
      <c r="D603" s="11" t="s">
        <v>1106</v>
      </c>
      <c r="E603" s="11" t="s">
        <v>11</v>
      </c>
      <c r="F603" s="25">
        <v>26</v>
      </c>
      <c r="G603" s="16">
        <v>0</v>
      </c>
      <c r="H603" s="16">
        <v>0</v>
      </c>
      <c r="I603" s="11" t="s">
        <v>1107</v>
      </c>
      <c r="J603" s="21">
        <v>7.8958000000000004</v>
      </c>
      <c r="K603" s="27" t="str">
        <f t="shared" si="63"/>
        <v>Died</v>
      </c>
      <c r="L603" s="27" t="str">
        <f t="shared" si="64"/>
        <v>Young Adult</v>
      </c>
      <c r="M603" s="28">
        <f t="shared" si="65"/>
        <v>1</v>
      </c>
      <c r="N603" s="27" t="str">
        <f t="shared" si="66"/>
        <v>Alone</v>
      </c>
      <c r="O603" s="27" t="str">
        <f t="shared" si="67"/>
        <v>Low Fare</v>
      </c>
      <c r="P603" s="27" t="str">
        <f t="shared" si="68"/>
        <v>Third Class</v>
      </c>
      <c r="Q603" s="27">
        <f t="shared" si="69"/>
        <v>1</v>
      </c>
    </row>
    <row r="604" spans="1:17" x14ac:dyDescent="0.3">
      <c r="A604" s="15">
        <v>603</v>
      </c>
      <c r="B604" s="15">
        <v>0</v>
      </c>
      <c r="C604" s="15">
        <v>1</v>
      </c>
      <c r="D604" s="8" t="s">
        <v>1108</v>
      </c>
      <c r="E604" s="8" t="s">
        <v>11</v>
      </c>
      <c r="F604" s="24">
        <v>26</v>
      </c>
      <c r="G604" s="15">
        <v>0</v>
      </c>
      <c r="H604" s="15">
        <v>0</v>
      </c>
      <c r="I604" s="8" t="s">
        <v>1109</v>
      </c>
      <c r="J604" s="20">
        <v>42.4</v>
      </c>
      <c r="K604" s="27" t="str">
        <f t="shared" si="63"/>
        <v>Died</v>
      </c>
      <c r="L604" s="27" t="str">
        <f t="shared" si="64"/>
        <v>Young Adult</v>
      </c>
      <c r="M604" s="28">
        <f t="shared" si="65"/>
        <v>1</v>
      </c>
      <c r="N604" s="27" t="str">
        <f t="shared" si="66"/>
        <v>Alone</v>
      </c>
      <c r="O604" s="27" t="str">
        <f t="shared" si="67"/>
        <v>Medium Fare</v>
      </c>
      <c r="P604" s="27" t="str">
        <f t="shared" si="68"/>
        <v>First Class</v>
      </c>
      <c r="Q604" s="27">
        <f t="shared" si="69"/>
        <v>1</v>
      </c>
    </row>
    <row r="605" spans="1:17" x14ac:dyDescent="0.3">
      <c r="A605" s="16">
        <v>604</v>
      </c>
      <c r="B605" s="16">
        <v>0</v>
      </c>
      <c r="C605" s="16">
        <v>3</v>
      </c>
      <c r="D605" s="11" t="s">
        <v>1110</v>
      </c>
      <c r="E605" s="11" t="s">
        <v>11</v>
      </c>
      <c r="F605" s="25">
        <v>44</v>
      </c>
      <c r="G605" s="16">
        <v>0</v>
      </c>
      <c r="H605" s="16">
        <v>0</v>
      </c>
      <c r="I605" s="11" t="s">
        <v>1111</v>
      </c>
      <c r="J605" s="21">
        <v>8.0500000000000007</v>
      </c>
      <c r="K605" s="27" t="str">
        <f t="shared" si="63"/>
        <v>Died</v>
      </c>
      <c r="L605" s="27" t="str">
        <f t="shared" si="64"/>
        <v>Adult</v>
      </c>
      <c r="M605" s="28">
        <f t="shared" si="65"/>
        <v>1</v>
      </c>
      <c r="N605" s="27" t="str">
        <f t="shared" si="66"/>
        <v>Alone</v>
      </c>
      <c r="O605" s="27" t="str">
        <f t="shared" si="67"/>
        <v>Low Fare</v>
      </c>
      <c r="P605" s="27" t="str">
        <f t="shared" si="68"/>
        <v>Third Class</v>
      </c>
      <c r="Q605" s="27">
        <f t="shared" si="69"/>
        <v>1</v>
      </c>
    </row>
    <row r="606" spans="1:17" x14ac:dyDescent="0.3">
      <c r="A606" s="15">
        <v>605</v>
      </c>
      <c r="B606" s="15">
        <v>1</v>
      </c>
      <c r="C606" s="15">
        <v>1</v>
      </c>
      <c r="D606" s="8" t="s">
        <v>1112</v>
      </c>
      <c r="E606" s="8" t="s">
        <v>11</v>
      </c>
      <c r="F606" s="24">
        <v>35</v>
      </c>
      <c r="G606" s="15">
        <v>0</v>
      </c>
      <c r="H606" s="15">
        <v>0</v>
      </c>
      <c r="I606" s="8" t="s">
        <v>1113</v>
      </c>
      <c r="J606" s="20">
        <v>26.55</v>
      </c>
      <c r="K606" s="27" t="str">
        <f t="shared" si="63"/>
        <v>Survived</v>
      </c>
      <c r="L606" s="27" t="str">
        <f t="shared" si="64"/>
        <v>Adult</v>
      </c>
      <c r="M606" s="28">
        <f t="shared" si="65"/>
        <v>1</v>
      </c>
      <c r="N606" s="27" t="str">
        <f t="shared" si="66"/>
        <v>Alone</v>
      </c>
      <c r="O606" s="27" t="str">
        <f t="shared" si="67"/>
        <v>Medium Fare</v>
      </c>
      <c r="P606" s="27" t="str">
        <f t="shared" si="68"/>
        <v>First Class</v>
      </c>
      <c r="Q606" s="27">
        <f t="shared" si="69"/>
        <v>1</v>
      </c>
    </row>
    <row r="607" spans="1:17" x14ac:dyDescent="0.3">
      <c r="A607" s="16">
        <v>606</v>
      </c>
      <c r="B607" s="16">
        <v>0</v>
      </c>
      <c r="C607" s="16">
        <v>3</v>
      </c>
      <c r="D607" s="11" t="s">
        <v>1114</v>
      </c>
      <c r="E607" s="11" t="s">
        <v>11</v>
      </c>
      <c r="F607" s="25">
        <v>36</v>
      </c>
      <c r="G607" s="16">
        <v>1</v>
      </c>
      <c r="H607" s="16">
        <v>0</v>
      </c>
      <c r="I607" s="11" t="s">
        <v>1115</v>
      </c>
      <c r="J607" s="21">
        <v>15.55</v>
      </c>
      <c r="K607" s="27" t="str">
        <f t="shared" si="63"/>
        <v>Died</v>
      </c>
      <c r="L607" s="27" t="str">
        <f t="shared" si="64"/>
        <v>Adult</v>
      </c>
      <c r="M607" s="28">
        <f t="shared" si="65"/>
        <v>2</v>
      </c>
      <c r="N607" s="27" t="str">
        <f t="shared" si="66"/>
        <v>Small Family</v>
      </c>
      <c r="O607" s="27" t="str">
        <f t="shared" si="67"/>
        <v>Low Fare</v>
      </c>
      <c r="P607" s="27" t="str">
        <f t="shared" si="68"/>
        <v>Third Class</v>
      </c>
      <c r="Q607" s="27">
        <f t="shared" si="69"/>
        <v>1</v>
      </c>
    </row>
    <row r="608" spans="1:17" x14ac:dyDescent="0.3">
      <c r="A608" s="15">
        <v>607</v>
      </c>
      <c r="B608" s="15">
        <v>0</v>
      </c>
      <c r="C608" s="15">
        <v>3</v>
      </c>
      <c r="D608" s="8" t="s">
        <v>1116</v>
      </c>
      <c r="E608" s="8" t="s">
        <v>11</v>
      </c>
      <c r="F608" s="24">
        <v>30</v>
      </c>
      <c r="G608" s="15">
        <v>0</v>
      </c>
      <c r="H608" s="15">
        <v>0</v>
      </c>
      <c r="I608" s="8" t="s">
        <v>1117</v>
      </c>
      <c r="J608" s="20">
        <v>7.8958000000000004</v>
      </c>
      <c r="K608" s="27" t="str">
        <f t="shared" si="63"/>
        <v>Died</v>
      </c>
      <c r="L608" s="27" t="str">
        <f t="shared" si="64"/>
        <v>Young Adult</v>
      </c>
      <c r="M608" s="28">
        <f t="shared" si="65"/>
        <v>1</v>
      </c>
      <c r="N608" s="27" t="str">
        <f t="shared" si="66"/>
        <v>Alone</v>
      </c>
      <c r="O608" s="27" t="str">
        <f t="shared" si="67"/>
        <v>Low Fare</v>
      </c>
      <c r="P608" s="27" t="str">
        <f t="shared" si="68"/>
        <v>Third Class</v>
      </c>
      <c r="Q608" s="27">
        <f t="shared" si="69"/>
        <v>1</v>
      </c>
    </row>
    <row r="609" spans="1:17" x14ac:dyDescent="0.3">
      <c r="A609" s="16">
        <v>608</v>
      </c>
      <c r="B609" s="16">
        <v>1</v>
      </c>
      <c r="C609" s="16">
        <v>1</v>
      </c>
      <c r="D609" s="11" t="s">
        <v>1118</v>
      </c>
      <c r="E609" s="11" t="s">
        <v>11</v>
      </c>
      <c r="F609" s="25">
        <v>27</v>
      </c>
      <c r="G609" s="16">
        <v>0</v>
      </c>
      <c r="H609" s="16">
        <v>0</v>
      </c>
      <c r="I609" s="11" t="s">
        <v>1119</v>
      </c>
      <c r="J609" s="21">
        <v>30.5</v>
      </c>
      <c r="K609" s="27" t="str">
        <f t="shared" si="63"/>
        <v>Survived</v>
      </c>
      <c r="L609" s="27" t="str">
        <f t="shared" si="64"/>
        <v>Young Adult</v>
      </c>
      <c r="M609" s="28">
        <f t="shared" si="65"/>
        <v>1</v>
      </c>
      <c r="N609" s="27" t="str">
        <f t="shared" si="66"/>
        <v>Alone</v>
      </c>
      <c r="O609" s="27" t="str">
        <f t="shared" si="67"/>
        <v>Medium Fare</v>
      </c>
      <c r="P609" s="27" t="str">
        <f t="shared" si="68"/>
        <v>First Class</v>
      </c>
      <c r="Q609" s="27">
        <f t="shared" si="69"/>
        <v>1</v>
      </c>
    </row>
    <row r="610" spans="1:17" x14ac:dyDescent="0.3">
      <c r="A610" s="15">
        <v>609</v>
      </c>
      <c r="B610" s="15">
        <v>1</v>
      </c>
      <c r="C610" s="15">
        <v>2</v>
      </c>
      <c r="D610" s="8" t="s">
        <v>1120</v>
      </c>
      <c r="E610" s="8" t="s">
        <v>14</v>
      </c>
      <c r="F610" s="24">
        <v>22</v>
      </c>
      <c r="G610" s="15">
        <v>1</v>
      </c>
      <c r="H610" s="15">
        <v>2</v>
      </c>
      <c r="I610" s="8" t="s">
        <v>98</v>
      </c>
      <c r="J610" s="20">
        <v>41.5792</v>
      </c>
      <c r="K610" s="27" t="str">
        <f t="shared" si="63"/>
        <v>Survived</v>
      </c>
      <c r="L610" s="27" t="str">
        <f t="shared" si="64"/>
        <v>Young Adult</v>
      </c>
      <c r="M610" s="28">
        <f t="shared" si="65"/>
        <v>4</v>
      </c>
      <c r="N610" s="27" t="str">
        <f t="shared" si="66"/>
        <v>Small Family</v>
      </c>
      <c r="O610" s="27" t="str">
        <f t="shared" si="67"/>
        <v>Medium Fare</v>
      </c>
      <c r="P610" s="27" t="str">
        <f t="shared" si="68"/>
        <v>Second Class</v>
      </c>
      <c r="Q610" s="27">
        <f t="shared" si="69"/>
        <v>2</v>
      </c>
    </row>
    <row r="611" spans="1:17" x14ac:dyDescent="0.3">
      <c r="A611" s="16">
        <v>610</v>
      </c>
      <c r="B611" s="16">
        <v>1</v>
      </c>
      <c r="C611" s="16">
        <v>1</v>
      </c>
      <c r="D611" s="11" t="s">
        <v>1121</v>
      </c>
      <c r="E611" s="11" t="s">
        <v>14</v>
      </c>
      <c r="F611" s="25">
        <v>40</v>
      </c>
      <c r="G611" s="16">
        <v>0</v>
      </c>
      <c r="H611" s="16">
        <v>0</v>
      </c>
      <c r="I611" s="11" t="s">
        <v>520</v>
      </c>
      <c r="J611" s="21">
        <v>153.46250000000001</v>
      </c>
      <c r="K611" s="27" t="str">
        <f t="shared" si="63"/>
        <v>Survived</v>
      </c>
      <c r="L611" s="27" t="str">
        <f t="shared" si="64"/>
        <v>Adult</v>
      </c>
      <c r="M611" s="28">
        <f t="shared" si="65"/>
        <v>1</v>
      </c>
      <c r="N611" s="27" t="str">
        <f t="shared" si="66"/>
        <v>Alone</v>
      </c>
      <c r="O611" s="27" t="str">
        <f t="shared" si="67"/>
        <v>High Fare</v>
      </c>
      <c r="P611" s="27" t="str">
        <f t="shared" si="68"/>
        <v>First Class</v>
      </c>
      <c r="Q611" s="27">
        <f t="shared" si="69"/>
        <v>2</v>
      </c>
    </row>
    <row r="612" spans="1:17" x14ac:dyDescent="0.3">
      <c r="A612" s="15">
        <v>611</v>
      </c>
      <c r="B612" s="15">
        <v>0</v>
      </c>
      <c r="C612" s="15">
        <v>3</v>
      </c>
      <c r="D612" s="8" t="s">
        <v>1122</v>
      </c>
      <c r="E612" s="8" t="s">
        <v>14</v>
      </c>
      <c r="F612" s="24">
        <v>39</v>
      </c>
      <c r="G612" s="15">
        <v>1</v>
      </c>
      <c r="H612" s="15">
        <v>5</v>
      </c>
      <c r="I612" s="8" t="s">
        <v>39</v>
      </c>
      <c r="J612" s="20">
        <v>31.274999999999999</v>
      </c>
      <c r="K612" s="27" t="str">
        <f t="shared" si="63"/>
        <v>Died</v>
      </c>
      <c r="L612" s="27" t="str">
        <f t="shared" si="64"/>
        <v>Adult</v>
      </c>
      <c r="M612" s="28">
        <f t="shared" si="65"/>
        <v>7</v>
      </c>
      <c r="N612" s="27" t="str">
        <f t="shared" si="66"/>
        <v>Large Family</v>
      </c>
      <c r="O612" s="27" t="str">
        <f t="shared" si="67"/>
        <v>Medium Fare</v>
      </c>
      <c r="P612" s="27" t="str">
        <f t="shared" si="68"/>
        <v>Third Class</v>
      </c>
      <c r="Q612" s="27">
        <f t="shared" si="69"/>
        <v>2</v>
      </c>
    </row>
    <row r="613" spans="1:17" x14ac:dyDescent="0.3">
      <c r="A613" s="16">
        <v>612</v>
      </c>
      <c r="B613" s="16">
        <v>0</v>
      </c>
      <c r="C613" s="16">
        <v>3</v>
      </c>
      <c r="D613" s="11" t="s">
        <v>1123</v>
      </c>
      <c r="E613" s="11" t="s">
        <v>11</v>
      </c>
      <c r="F613" s="25">
        <v>26</v>
      </c>
      <c r="G613" s="16">
        <v>0</v>
      </c>
      <c r="H613" s="16">
        <v>0</v>
      </c>
      <c r="I613" s="11" t="s">
        <v>1124</v>
      </c>
      <c r="J613" s="21">
        <v>7.05</v>
      </c>
      <c r="K613" s="27" t="str">
        <f t="shared" si="63"/>
        <v>Died</v>
      </c>
      <c r="L613" s="27" t="str">
        <f t="shared" si="64"/>
        <v>Young Adult</v>
      </c>
      <c r="M613" s="28">
        <f t="shared" si="65"/>
        <v>1</v>
      </c>
      <c r="N613" s="27" t="str">
        <f t="shared" si="66"/>
        <v>Alone</v>
      </c>
      <c r="O613" s="27" t="str">
        <f t="shared" si="67"/>
        <v>Low Fare</v>
      </c>
      <c r="P613" s="27" t="str">
        <f t="shared" si="68"/>
        <v>Third Class</v>
      </c>
      <c r="Q613" s="27">
        <f t="shared" si="69"/>
        <v>1</v>
      </c>
    </row>
    <row r="614" spans="1:17" x14ac:dyDescent="0.3">
      <c r="A614" s="15">
        <v>613</v>
      </c>
      <c r="B614" s="15">
        <v>1</v>
      </c>
      <c r="C614" s="15">
        <v>3</v>
      </c>
      <c r="D614" s="8" t="s">
        <v>1125</v>
      </c>
      <c r="E614" s="8" t="s">
        <v>14</v>
      </c>
      <c r="F614" s="24">
        <v>26</v>
      </c>
      <c r="G614" s="15">
        <v>1</v>
      </c>
      <c r="H614" s="15">
        <v>0</v>
      </c>
      <c r="I614" s="8" t="s">
        <v>469</v>
      </c>
      <c r="J614" s="20">
        <v>15.5</v>
      </c>
      <c r="K614" s="27" t="str">
        <f t="shared" si="63"/>
        <v>Survived</v>
      </c>
      <c r="L614" s="27" t="str">
        <f t="shared" si="64"/>
        <v>Young Adult</v>
      </c>
      <c r="M614" s="28">
        <f t="shared" si="65"/>
        <v>2</v>
      </c>
      <c r="N614" s="27" t="str">
        <f t="shared" si="66"/>
        <v>Small Family</v>
      </c>
      <c r="O614" s="27" t="str">
        <f t="shared" si="67"/>
        <v>Low Fare</v>
      </c>
      <c r="P614" s="27" t="str">
        <f t="shared" si="68"/>
        <v>Third Class</v>
      </c>
      <c r="Q614" s="27">
        <f t="shared" si="69"/>
        <v>2</v>
      </c>
    </row>
    <row r="615" spans="1:17" x14ac:dyDescent="0.3">
      <c r="A615" s="16">
        <v>614</v>
      </c>
      <c r="B615" s="16">
        <v>0</v>
      </c>
      <c r="C615" s="16">
        <v>3</v>
      </c>
      <c r="D615" s="11" t="s">
        <v>1126</v>
      </c>
      <c r="E615" s="11" t="s">
        <v>11</v>
      </c>
      <c r="F615" s="25">
        <v>26</v>
      </c>
      <c r="G615" s="16">
        <v>0</v>
      </c>
      <c r="H615" s="16">
        <v>0</v>
      </c>
      <c r="I615" s="11" t="s">
        <v>1127</v>
      </c>
      <c r="J615" s="21">
        <v>7.75</v>
      </c>
      <c r="K615" s="27" t="str">
        <f t="shared" si="63"/>
        <v>Died</v>
      </c>
      <c r="L615" s="27" t="str">
        <f t="shared" si="64"/>
        <v>Young Adult</v>
      </c>
      <c r="M615" s="28">
        <f t="shared" si="65"/>
        <v>1</v>
      </c>
      <c r="N615" s="27" t="str">
        <f t="shared" si="66"/>
        <v>Alone</v>
      </c>
      <c r="O615" s="27" t="str">
        <f t="shared" si="67"/>
        <v>Low Fare</v>
      </c>
      <c r="P615" s="27" t="str">
        <f t="shared" si="68"/>
        <v>Third Class</v>
      </c>
      <c r="Q615" s="27">
        <f t="shared" si="69"/>
        <v>1</v>
      </c>
    </row>
    <row r="616" spans="1:17" x14ac:dyDescent="0.3">
      <c r="A616" s="15">
        <v>615</v>
      </c>
      <c r="B616" s="15">
        <v>0</v>
      </c>
      <c r="C616" s="15">
        <v>3</v>
      </c>
      <c r="D616" s="8" t="s">
        <v>1128</v>
      </c>
      <c r="E616" s="8" t="s">
        <v>11</v>
      </c>
      <c r="F616" s="24">
        <v>35</v>
      </c>
      <c r="G616" s="15">
        <v>0</v>
      </c>
      <c r="H616" s="15">
        <v>0</v>
      </c>
      <c r="I616" s="8" t="s">
        <v>1129</v>
      </c>
      <c r="J616" s="20">
        <v>8.0500000000000007</v>
      </c>
      <c r="K616" s="27" t="str">
        <f t="shared" si="63"/>
        <v>Died</v>
      </c>
      <c r="L616" s="27" t="str">
        <f t="shared" si="64"/>
        <v>Adult</v>
      </c>
      <c r="M616" s="28">
        <f t="shared" si="65"/>
        <v>1</v>
      </c>
      <c r="N616" s="27" t="str">
        <f t="shared" si="66"/>
        <v>Alone</v>
      </c>
      <c r="O616" s="27" t="str">
        <f t="shared" si="67"/>
        <v>Low Fare</v>
      </c>
      <c r="P616" s="27" t="str">
        <f t="shared" si="68"/>
        <v>Third Class</v>
      </c>
      <c r="Q616" s="27">
        <f t="shared" si="69"/>
        <v>1</v>
      </c>
    </row>
    <row r="617" spans="1:17" x14ac:dyDescent="0.3">
      <c r="A617" s="16">
        <v>616</v>
      </c>
      <c r="B617" s="16">
        <v>1</v>
      </c>
      <c r="C617" s="16">
        <v>2</v>
      </c>
      <c r="D617" s="11" t="s">
        <v>1130</v>
      </c>
      <c r="E617" s="11" t="s">
        <v>14</v>
      </c>
      <c r="F617" s="25">
        <v>24</v>
      </c>
      <c r="G617" s="16">
        <v>1</v>
      </c>
      <c r="H617" s="16">
        <v>2</v>
      </c>
      <c r="I617" s="11" t="s">
        <v>1131</v>
      </c>
      <c r="J617" s="21">
        <v>65</v>
      </c>
      <c r="K617" s="27" t="str">
        <f t="shared" si="63"/>
        <v>Survived</v>
      </c>
      <c r="L617" s="27" t="str">
        <f t="shared" si="64"/>
        <v>Young Adult</v>
      </c>
      <c r="M617" s="28">
        <f t="shared" si="65"/>
        <v>4</v>
      </c>
      <c r="N617" s="27" t="str">
        <f t="shared" si="66"/>
        <v>Small Family</v>
      </c>
      <c r="O617" s="27" t="str">
        <f t="shared" si="67"/>
        <v>Medium Fare</v>
      </c>
      <c r="P617" s="27" t="str">
        <f t="shared" si="68"/>
        <v>Second Class</v>
      </c>
      <c r="Q617" s="27">
        <f t="shared" si="69"/>
        <v>2</v>
      </c>
    </row>
    <row r="618" spans="1:17" x14ac:dyDescent="0.3">
      <c r="A618" s="15">
        <v>617</v>
      </c>
      <c r="B618" s="15">
        <v>0</v>
      </c>
      <c r="C618" s="15">
        <v>3</v>
      </c>
      <c r="D618" s="8" t="s">
        <v>1132</v>
      </c>
      <c r="E618" s="8" t="s">
        <v>11</v>
      </c>
      <c r="F618" s="24">
        <v>34</v>
      </c>
      <c r="G618" s="15">
        <v>1</v>
      </c>
      <c r="H618" s="15">
        <v>1</v>
      </c>
      <c r="I618" s="8" t="s">
        <v>797</v>
      </c>
      <c r="J618" s="20">
        <v>14.4</v>
      </c>
      <c r="K618" s="27" t="str">
        <f t="shared" si="63"/>
        <v>Died</v>
      </c>
      <c r="L618" s="27" t="str">
        <f t="shared" si="64"/>
        <v>Young Adult</v>
      </c>
      <c r="M618" s="28">
        <f t="shared" si="65"/>
        <v>3</v>
      </c>
      <c r="N618" s="27" t="str">
        <f t="shared" si="66"/>
        <v>Small Family</v>
      </c>
      <c r="O618" s="27" t="str">
        <f t="shared" si="67"/>
        <v>Low Fare</v>
      </c>
      <c r="P618" s="27" t="str">
        <f t="shared" si="68"/>
        <v>Third Class</v>
      </c>
      <c r="Q618" s="27">
        <f t="shared" si="69"/>
        <v>1</v>
      </c>
    </row>
    <row r="619" spans="1:17" x14ac:dyDescent="0.3">
      <c r="A619" s="16">
        <v>618</v>
      </c>
      <c r="B619" s="16">
        <v>0</v>
      </c>
      <c r="C619" s="16">
        <v>3</v>
      </c>
      <c r="D619" s="11" t="s">
        <v>1133</v>
      </c>
      <c r="E619" s="11" t="s">
        <v>14</v>
      </c>
      <c r="F619" s="25">
        <v>26</v>
      </c>
      <c r="G619" s="16">
        <v>1</v>
      </c>
      <c r="H619" s="16">
        <v>0</v>
      </c>
      <c r="I619" s="11" t="s">
        <v>492</v>
      </c>
      <c r="J619" s="21">
        <v>16.100000000000001</v>
      </c>
      <c r="K619" s="27" t="str">
        <f t="shared" si="63"/>
        <v>Died</v>
      </c>
      <c r="L619" s="27" t="str">
        <f t="shared" si="64"/>
        <v>Young Adult</v>
      </c>
      <c r="M619" s="28">
        <f t="shared" si="65"/>
        <v>2</v>
      </c>
      <c r="N619" s="27" t="str">
        <f t="shared" si="66"/>
        <v>Small Family</v>
      </c>
      <c r="O619" s="27" t="str">
        <f t="shared" si="67"/>
        <v>Low Fare</v>
      </c>
      <c r="P619" s="27" t="str">
        <f t="shared" si="68"/>
        <v>Third Class</v>
      </c>
      <c r="Q619" s="27">
        <f t="shared" si="69"/>
        <v>2</v>
      </c>
    </row>
    <row r="620" spans="1:17" x14ac:dyDescent="0.3">
      <c r="A620" s="15">
        <v>619</v>
      </c>
      <c r="B620" s="15">
        <v>1</v>
      </c>
      <c r="C620" s="15">
        <v>2</v>
      </c>
      <c r="D620" s="8" t="s">
        <v>1134</v>
      </c>
      <c r="E620" s="8" t="s">
        <v>14</v>
      </c>
      <c r="F620" s="24">
        <v>4</v>
      </c>
      <c r="G620" s="15">
        <v>2</v>
      </c>
      <c r="H620" s="15">
        <v>1</v>
      </c>
      <c r="I620" s="8" t="s">
        <v>361</v>
      </c>
      <c r="J620" s="20">
        <v>39</v>
      </c>
      <c r="K620" s="27" t="str">
        <f t="shared" si="63"/>
        <v>Survived</v>
      </c>
      <c r="L620" s="27" t="str">
        <f t="shared" si="64"/>
        <v>Child</v>
      </c>
      <c r="M620" s="28">
        <f t="shared" si="65"/>
        <v>4</v>
      </c>
      <c r="N620" s="27" t="str">
        <f t="shared" si="66"/>
        <v>Small Family</v>
      </c>
      <c r="O620" s="27" t="str">
        <f t="shared" si="67"/>
        <v>Medium Fare</v>
      </c>
      <c r="P620" s="27" t="str">
        <f t="shared" si="68"/>
        <v>Second Class</v>
      </c>
      <c r="Q620" s="27">
        <f t="shared" si="69"/>
        <v>2</v>
      </c>
    </row>
    <row r="621" spans="1:17" x14ac:dyDescent="0.3">
      <c r="A621" s="16">
        <v>620</v>
      </c>
      <c r="B621" s="16">
        <v>0</v>
      </c>
      <c r="C621" s="16">
        <v>2</v>
      </c>
      <c r="D621" s="11" t="s">
        <v>1135</v>
      </c>
      <c r="E621" s="11" t="s">
        <v>11</v>
      </c>
      <c r="F621" s="25">
        <v>26</v>
      </c>
      <c r="G621" s="16">
        <v>0</v>
      </c>
      <c r="H621" s="16">
        <v>0</v>
      </c>
      <c r="I621" s="11" t="s">
        <v>1136</v>
      </c>
      <c r="J621" s="21">
        <v>10.5</v>
      </c>
      <c r="K621" s="27" t="str">
        <f t="shared" si="63"/>
        <v>Died</v>
      </c>
      <c r="L621" s="27" t="str">
        <f t="shared" si="64"/>
        <v>Young Adult</v>
      </c>
      <c r="M621" s="28">
        <f t="shared" si="65"/>
        <v>1</v>
      </c>
      <c r="N621" s="27" t="str">
        <f t="shared" si="66"/>
        <v>Alone</v>
      </c>
      <c r="O621" s="27" t="str">
        <f t="shared" si="67"/>
        <v>Low Fare</v>
      </c>
      <c r="P621" s="27" t="str">
        <f t="shared" si="68"/>
        <v>Second Class</v>
      </c>
      <c r="Q621" s="27">
        <f t="shared" si="69"/>
        <v>1</v>
      </c>
    </row>
    <row r="622" spans="1:17" x14ac:dyDescent="0.3">
      <c r="A622" s="15">
        <v>621</v>
      </c>
      <c r="B622" s="15">
        <v>0</v>
      </c>
      <c r="C622" s="15">
        <v>3</v>
      </c>
      <c r="D622" s="8" t="s">
        <v>1137</v>
      </c>
      <c r="E622" s="8" t="s">
        <v>11</v>
      </c>
      <c r="F622" s="24">
        <v>27</v>
      </c>
      <c r="G622" s="15">
        <v>1</v>
      </c>
      <c r="H622" s="15">
        <v>0</v>
      </c>
      <c r="I622" s="8" t="s">
        <v>1138</v>
      </c>
      <c r="J622" s="20">
        <v>14.4542</v>
      </c>
      <c r="K622" s="27" t="str">
        <f t="shared" si="63"/>
        <v>Died</v>
      </c>
      <c r="L622" s="27" t="str">
        <f t="shared" si="64"/>
        <v>Young Adult</v>
      </c>
      <c r="M622" s="28">
        <f t="shared" si="65"/>
        <v>2</v>
      </c>
      <c r="N622" s="27" t="str">
        <f t="shared" si="66"/>
        <v>Small Family</v>
      </c>
      <c r="O622" s="27" t="str">
        <f t="shared" si="67"/>
        <v>Low Fare</v>
      </c>
      <c r="P622" s="27" t="str">
        <f t="shared" si="68"/>
        <v>Third Class</v>
      </c>
      <c r="Q622" s="27">
        <f t="shared" si="69"/>
        <v>1</v>
      </c>
    </row>
    <row r="623" spans="1:17" x14ac:dyDescent="0.3">
      <c r="A623" s="16">
        <v>622</v>
      </c>
      <c r="B623" s="16">
        <v>1</v>
      </c>
      <c r="C623" s="16">
        <v>1</v>
      </c>
      <c r="D623" s="11" t="s">
        <v>1139</v>
      </c>
      <c r="E623" s="11" t="s">
        <v>11</v>
      </c>
      <c r="F623" s="25">
        <v>42</v>
      </c>
      <c r="G623" s="16">
        <v>1</v>
      </c>
      <c r="H623" s="16">
        <v>0</v>
      </c>
      <c r="I623" s="11" t="s">
        <v>1140</v>
      </c>
      <c r="J623" s="21">
        <v>52.554200000000002</v>
      </c>
      <c r="K623" s="27" t="str">
        <f t="shared" si="63"/>
        <v>Survived</v>
      </c>
      <c r="L623" s="27" t="str">
        <f t="shared" si="64"/>
        <v>Adult</v>
      </c>
      <c r="M623" s="28">
        <f t="shared" si="65"/>
        <v>2</v>
      </c>
      <c r="N623" s="27" t="str">
        <f t="shared" si="66"/>
        <v>Small Family</v>
      </c>
      <c r="O623" s="27" t="str">
        <f t="shared" si="67"/>
        <v>Medium Fare</v>
      </c>
      <c r="P623" s="27" t="str">
        <f t="shared" si="68"/>
        <v>First Class</v>
      </c>
      <c r="Q623" s="27">
        <f t="shared" si="69"/>
        <v>1</v>
      </c>
    </row>
    <row r="624" spans="1:17" x14ac:dyDescent="0.3">
      <c r="A624" s="15">
        <v>623</v>
      </c>
      <c r="B624" s="15">
        <v>1</v>
      </c>
      <c r="C624" s="15">
        <v>3</v>
      </c>
      <c r="D624" s="8" t="s">
        <v>1141</v>
      </c>
      <c r="E624" s="8" t="s">
        <v>11</v>
      </c>
      <c r="F624" s="24">
        <v>20</v>
      </c>
      <c r="G624" s="15">
        <v>1</v>
      </c>
      <c r="H624" s="15">
        <v>1</v>
      </c>
      <c r="I624" s="8" t="s">
        <v>722</v>
      </c>
      <c r="J624" s="20">
        <v>15.7417</v>
      </c>
      <c r="K624" s="27" t="str">
        <f t="shared" si="63"/>
        <v>Survived</v>
      </c>
      <c r="L624" s="27" t="str">
        <f t="shared" si="64"/>
        <v>Young Adult</v>
      </c>
      <c r="M624" s="28">
        <f t="shared" si="65"/>
        <v>3</v>
      </c>
      <c r="N624" s="27" t="str">
        <f t="shared" si="66"/>
        <v>Small Family</v>
      </c>
      <c r="O624" s="27" t="str">
        <f t="shared" si="67"/>
        <v>Low Fare</v>
      </c>
      <c r="P624" s="27" t="str">
        <f t="shared" si="68"/>
        <v>Third Class</v>
      </c>
      <c r="Q624" s="27">
        <f t="shared" si="69"/>
        <v>1</v>
      </c>
    </row>
    <row r="625" spans="1:17" x14ac:dyDescent="0.3">
      <c r="A625" s="16">
        <v>624</v>
      </c>
      <c r="B625" s="16">
        <v>0</v>
      </c>
      <c r="C625" s="16">
        <v>3</v>
      </c>
      <c r="D625" s="11" t="s">
        <v>1142</v>
      </c>
      <c r="E625" s="11" t="s">
        <v>11</v>
      </c>
      <c r="F625" s="25">
        <v>21</v>
      </c>
      <c r="G625" s="16">
        <v>0</v>
      </c>
      <c r="H625" s="16">
        <v>0</v>
      </c>
      <c r="I625" s="11" t="s">
        <v>1143</v>
      </c>
      <c r="J625" s="21">
        <v>7.8541999999999996</v>
      </c>
      <c r="K625" s="27" t="str">
        <f t="shared" si="63"/>
        <v>Died</v>
      </c>
      <c r="L625" s="27" t="str">
        <f t="shared" si="64"/>
        <v>Young Adult</v>
      </c>
      <c r="M625" s="28">
        <f t="shared" si="65"/>
        <v>1</v>
      </c>
      <c r="N625" s="27" t="str">
        <f t="shared" si="66"/>
        <v>Alone</v>
      </c>
      <c r="O625" s="27" t="str">
        <f t="shared" si="67"/>
        <v>Low Fare</v>
      </c>
      <c r="P625" s="27" t="str">
        <f t="shared" si="68"/>
        <v>Third Class</v>
      </c>
      <c r="Q625" s="27">
        <f t="shared" si="69"/>
        <v>1</v>
      </c>
    </row>
    <row r="626" spans="1:17" x14ac:dyDescent="0.3">
      <c r="A626" s="15">
        <v>625</v>
      </c>
      <c r="B626" s="15">
        <v>0</v>
      </c>
      <c r="C626" s="15">
        <v>3</v>
      </c>
      <c r="D626" s="8" t="s">
        <v>1144</v>
      </c>
      <c r="E626" s="8" t="s">
        <v>11</v>
      </c>
      <c r="F626" s="24">
        <v>21</v>
      </c>
      <c r="G626" s="15">
        <v>0</v>
      </c>
      <c r="H626" s="15">
        <v>0</v>
      </c>
      <c r="I626" s="8" t="s">
        <v>1145</v>
      </c>
      <c r="J626" s="20">
        <v>16.100000000000001</v>
      </c>
      <c r="K626" s="27" t="str">
        <f t="shared" si="63"/>
        <v>Died</v>
      </c>
      <c r="L626" s="27" t="str">
        <f t="shared" si="64"/>
        <v>Young Adult</v>
      </c>
      <c r="M626" s="28">
        <f t="shared" si="65"/>
        <v>1</v>
      </c>
      <c r="N626" s="27" t="str">
        <f t="shared" si="66"/>
        <v>Alone</v>
      </c>
      <c r="O626" s="27" t="str">
        <f t="shared" si="67"/>
        <v>Low Fare</v>
      </c>
      <c r="P626" s="27" t="str">
        <f t="shared" si="68"/>
        <v>Third Class</v>
      </c>
      <c r="Q626" s="27">
        <f t="shared" si="69"/>
        <v>1</v>
      </c>
    </row>
    <row r="627" spans="1:17" x14ac:dyDescent="0.3">
      <c r="A627" s="16">
        <v>626</v>
      </c>
      <c r="B627" s="16">
        <v>0</v>
      </c>
      <c r="C627" s="16">
        <v>1</v>
      </c>
      <c r="D627" s="11" t="s">
        <v>1146</v>
      </c>
      <c r="E627" s="11" t="s">
        <v>11</v>
      </c>
      <c r="F627" s="25">
        <v>61</v>
      </c>
      <c r="G627" s="16">
        <v>0</v>
      </c>
      <c r="H627" s="16">
        <v>0</v>
      </c>
      <c r="I627" s="11" t="s">
        <v>1147</v>
      </c>
      <c r="J627" s="21">
        <v>32.320799999999998</v>
      </c>
      <c r="K627" s="27" t="str">
        <f t="shared" si="63"/>
        <v>Died</v>
      </c>
      <c r="L627" s="27" t="str">
        <f t="shared" si="64"/>
        <v>Senior</v>
      </c>
      <c r="M627" s="28">
        <f t="shared" si="65"/>
        <v>1</v>
      </c>
      <c r="N627" s="27" t="str">
        <f t="shared" si="66"/>
        <v>Alone</v>
      </c>
      <c r="O627" s="27" t="str">
        <f t="shared" si="67"/>
        <v>Medium Fare</v>
      </c>
      <c r="P627" s="27" t="str">
        <f t="shared" si="68"/>
        <v>First Class</v>
      </c>
      <c r="Q627" s="27">
        <f t="shared" si="69"/>
        <v>1</v>
      </c>
    </row>
    <row r="628" spans="1:17" x14ac:dyDescent="0.3">
      <c r="A628" s="15">
        <v>627</v>
      </c>
      <c r="B628" s="15">
        <v>0</v>
      </c>
      <c r="C628" s="15">
        <v>2</v>
      </c>
      <c r="D628" s="8" t="s">
        <v>1148</v>
      </c>
      <c r="E628" s="8" t="s">
        <v>11</v>
      </c>
      <c r="F628" s="24">
        <v>57</v>
      </c>
      <c r="G628" s="15">
        <v>0</v>
      </c>
      <c r="H628" s="15">
        <v>0</v>
      </c>
      <c r="I628" s="8" t="s">
        <v>1149</v>
      </c>
      <c r="J628" s="20">
        <v>12.35</v>
      </c>
      <c r="K628" s="27" t="str">
        <f t="shared" si="63"/>
        <v>Died</v>
      </c>
      <c r="L628" s="27" t="str">
        <f t="shared" si="64"/>
        <v>Adult</v>
      </c>
      <c r="M628" s="28">
        <f t="shared" si="65"/>
        <v>1</v>
      </c>
      <c r="N628" s="27" t="str">
        <f t="shared" si="66"/>
        <v>Alone</v>
      </c>
      <c r="O628" s="27" t="str">
        <f t="shared" si="67"/>
        <v>Low Fare</v>
      </c>
      <c r="P628" s="27" t="str">
        <f t="shared" si="68"/>
        <v>Second Class</v>
      </c>
      <c r="Q628" s="27">
        <f t="shared" si="69"/>
        <v>1</v>
      </c>
    </row>
    <row r="629" spans="1:17" x14ac:dyDescent="0.3">
      <c r="A629" s="16">
        <v>628</v>
      </c>
      <c r="B629" s="16">
        <v>1</v>
      </c>
      <c r="C629" s="16">
        <v>1</v>
      </c>
      <c r="D629" s="11" t="s">
        <v>1150</v>
      </c>
      <c r="E629" s="11" t="s">
        <v>14</v>
      </c>
      <c r="F629" s="25">
        <v>21</v>
      </c>
      <c r="G629" s="16">
        <v>0</v>
      </c>
      <c r="H629" s="16">
        <v>0</v>
      </c>
      <c r="I629" s="11" t="s">
        <v>533</v>
      </c>
      <c r="J629" s="21">
        <v>77.958299999999994</v>
      </c>
      <c r="K629" s="27" t="str">
        <f t="shared" si="63"/>
        <v>Survived</v>
      </c>
      <c r="L629" s="27" t="str">
        <f t="shared" si="64"/>
        <v>Young Adult</v>
      </c>
      <c r="M629" s="28">
        <f t="shared" si="65"/>
        <v>1</v>
      </c>
      <c r="N629" s="27" t="str">
        <f t="shared" si="66"/>
        <v>Alone</v>
      </c>
      <c r="O629" s="27" t="str">
        <f t="shared" si="67"/>
        <v>Medium Fare</v>
      </c>
      <c r="P629" s="27" t="str">
        <f t="shared" si="68"/>
        <v>First Class</v>
      </c>
      <c r="Q629" s="27">
        <f t="shared" si="69"/>
        <v>2</v>
      </c>
    </row>
    <row r="630" spans="1:17" x14ac:dyDescent="0.3">
      <c r="A630" s="15">
        <v>629</v>
      </c>
      <c r="B630" s="15">
        <v>0</v>
      </c>
      <c r="C630" s="15">
        <v>3</v>
      </c>
      <c r="D630" s="8" t="s">
        <v>1151</v>
      </c>
      <c r="E630" s="8" t="s">
        <v>11</v>
      </c>
      <c r="F630" s="24">
        <v>26</v>
      </c>
      <c r="G630" s="15">
        <v>0</v>
      </c>
      <c r="H630" s="15">
        <v>0</v>
      </c>
      <c r="I630" s="8" t="s">
        <v>1152</v>
      </c>
      <c r="J630" s="20">
        <v>7.8958000000000004</v>
      </c>
      <c r="K630" s="27" t="str">
        <f t="shared" si="63"/>
        <v>Died</v>
      </c>
      <c r="L630" s="27" t="str">
        <f t="shared" si="64"/>
        <v>Young Adult</v>
      </c>
      <c r="M630" s="28">
        <f t="shared" si="65"/>
        <v>1</v>
      </c>
      <c r="N630" s="27" t="str">
        <f t="shared" si="66"/>
        <v>Alone</v>
      </c>
      <c r="O630" s="27" t="str">
        <f t="shared" si="67"/>
        <v>Low Fare</v>
      </c>
      <c r="P630" s="27" t="str">
        <f t="shared" si="68"/>
        <v>Third Class</v>
      </c>
      <c r="Q630" s="27">
        <f t="shared" si="69"/>
        <v>1</v>
      </c>
    </row>
    <row r="631" spans="1:17" x14ac:dyDescent="0.3">
      <c r="A631" s="16">
        <v>630</v>
      </c>
      <c r="B631" s="16">
        <v>0</v>
      </c>
      <c r="C631" s="16">
        <v>3</v>
      </c>
      <c r="D631" s="11" t="s">
        <v>1153</v>
      </c>
      <c r="E631" s="11" t="s">
        <v>11</v>
      </c>
      <c r="F631" s="25">
        <v>26</v>
      </c>
      <c r="G631" s="16">
        <v>0</v>
      </c>
      <c r="H631" s="16">
        <v>0</v>
      </c>
      <c r="I631" s="11" t="s">
        <v>1154</v>
      </c>
      <c r="J631" s="21">
        <v>7.7332999999999998</v>
      </c>
      <c r="K631" s="27" t="str">
        <f t="shared" si="63"/>
        <v>Died</v>
      </c>
      <c r="L631" s="27" t="str">
        <f t="shared" si="64"/>
        <v>Young Adult</v>
      </c>
      <c r="M631" s="28">
        <f t="shared" si="65"/>
        <v>1</v>
      </c>
      <c r="N631" s="27" t="str">
        <f t="shared" si="66"/>
        <v>Alone</v>
      </c>
      <c r="O631" s="27" t="str">
        <f t="shared" si="67"/>
        <v>Low Fare</v>
      </c>
      <c r="P631" s="27" t="str">
        <f t="shared" si="68"/>
        <v>Third Class</v>
      </c>
      <c r="Q631" s="27">
        <f t="shared" si="69"/>
        <v>1</v>
      </c>
    </row>
    <row r="632" spans="1:17" x14ac:dyDescent="0.3">
      <c r="A632" s="15">
        <v>631</v>
      </c>
      <c r="B632" s="15">
        <v>1</v>
      </c>
      <c r="C632" s="15">
        <v>1</v>
      </c>
      <c r="D632" s="8" t="s">
        <v>1155</v>
      </c>
      <c r="E632" s="8" t="s">
        <v>11</v>
      </c>
      <c r="F632" s="24">
        <v>80</v>
      </c>
      <c r="G632" s="15">
        <v>0</v>
      </c>
      <c r="H632" s="15">
        <v>0</v>
      </c>
      <c r="I632" s="8" t="s">
        <v>1156</v>
      </c>
      <c r="J632" s="20">
        <v>30</v>
      </c>
      <c r="K632" s="27" t="str">
        <f t="shared" si="63"/>
        <v>Survived</v>
      </c>
      <c r="L632" s="27" t="str">
        <f t="shared" si="64"/>
        <v>Senior</v>
      </c>
      <c r="M632" s="28">
        <f t="shared" si="65"/>
        <v>1</v>
      </c>
      <c r="N632" s="27" t="str">
        <f t="shared" si="66"/>
        <v>Alone</v>
      </c>
      <c r="O632" s="27" t="str">
        <f t="shared" si="67"/>
        <v>Medium Fare</v>
      </c>
      <c r="P632" s="27" t="str">
        <f t="shared" si="68"/>
        <v>First Class</v>
      </c>
      <c r="Q632" s="27">
        <f t="shared" si="69"/>
        <v>1</v>
      </c>
    </row>
    <row r="633" spans="1:17" x14ac:dyDescent="0.3">
      <c r="A633" s="16">
        <v>632</v>
      </c>
      <c r="B633" s="16">
        <v>0</v>
      </c>
      <c r="C633" s="16">
        <v>3</v>
      </c>
      <c r="D633" s="11" t="s">
        <v>1157</v>
      </c>
      <c r="E633" s="11" t="s">
        <v>11</v>
      </c>
      <c r="F633" s="25">
        <v>51</v>
      </c>
      <c r="G633" s="16">
        <v>0</v>
      </c>
      <c r="H633" s="16">
        <v>0</v>
      </c>
      <c r="I633" s="11" t="s">
        <v>1158</v>
      </c>
      <c r="J633" s="21">
        <v>7.0541999999999998</v>
      </c>
      <c r="K633" s="27" t="str">
        <f t="shared" si="63"/>
        <v>Died</v>
      </c>
      <c r="L633" s="27" t="str">
        <f t="shared" si="64"/>
        <v>Adult</v>
      </c>
      <c r="M633" s="28">
        <f t="shared" si="65"/>
        <v>1</v>
      </c>
      <c r="N633" s="27" t="str">
        <f t="shared" si="66"/>
        <v>Alone</v>
      </c>
      <c r="O633" s="27" t="str">
        <f t="shared" si="67"/>
        <v>Low Fare</v>
      </c>
      <c r="P633" s="27" t="str">
        <f t="shared" si="68"/>
        <v>Third Class</v>
      </c>
      <c r="Q633" s="27">
        <f t="shared" si="69"/>
        <v>1</v>
      </c>
    </row>
    <row r="634" spans="1:17" x14ac:dyDescent="0.3">
      <c r="A634" s="15">
        <v>633</v>
      </c>
      <c r="B634" s="15">
        <v>1</v>
      </c>
      <c r="C634" s="15">
        <v>1</v>
      </c>
      <c r="D634" s="8" t="s">
        <v>1159</v>
      </c>
      <c r="E634" s="8" t="s">
        <v>11</v>
      </c>
      <c r="F634" s="24">
        <v>32</v>
      </c>
      <c r="G634" s="15">
        <v>0</v>
      </c>
      <c r="H634" s="15">
        <v>0</v>
      </c>
      <c r="I634" s="8" t="s">
        <v>1160</v>
      </c>
      <c r="J634" s="20">
        <v>30.5</v>
      </c>
      <c r="K634" s="27" t="str">
        <f t="shared" si="63"/>
        <v>Survived</v>
      </c>
      <c r="L634" s="27" t="str">
        <f t="shared" si="64"/>
        <v>Young Adult</v>
      </c>
      <c r="M634" s="28">
        <f t="shared" si="65"/>
        <v>1</v>
      </c>
      <c r="N634" s="27" t="str">
        <f t="shared" si="66"/>
        <v>Alone</v>
      </c>
      <c r="O634" s="27" t="str">
        <f t="shared" si="67"/>
        <v>Medium Fare</v>
      </c>
      <c r="P634" s="27" t="str">
        <f t="shared" si="68"/>
        <v>First Class</v>
      </c>
      <c r="Q634" s="27">
        <f t="shared" si="69"/>
        <v>1</v>
      </c>
    </row>
    <row r="635" spans="1:17" x14ac:dyDescent="0.3">
      <c r="A635" s="16">
        <v>634</v>
      </c>
      <c r="B635" s="16">
        <v>0</v>
      </c>
      <c r="C635" s="16">
        <v>1</v>
      </c>
      <c r="D635" s="11" t="s">
        <v>1161</v>
      </c>
      <c r="E635" s="11" t="s">
        <v>11</v>
      </c>
      <c r="F635" s="25">
        <v>26</v>
      </c>
      <c r="G635" s="16">
        <v>0</v>
      </c>
      <c r="H635" s="16">
        <v>0</v>
      </c>
      <c r="I635" s="11" t="s">
        <v>1162</v>
      </c>
      <c r="J635" s="21">
        <v>0</v>
      </c>
      <c r="K635" s="27" t="str">
        <f t="shared" si="63"/>
        <v>Died</v>
      </c>
      <c r="L635" s="27" t="str">
        <f t="shared" si="64"/>
        <v>Young Adult</v>
      </c>
      <c r="M635" s="28">
        <f t="shared" si="65"/>
        <v>1</v>
      </c>
      <c r="N635" s="27" t="str">
        <f t="shared" si="66"/>
        <v>Alone</v>
      </c>
      <c r="O635" s="27" t="str">
        <f t="shared" si="67"/>
        <v>Low Fare</v>
      </c>
      <c r="P635" s="27" t="str">
        <f t="shared" si="68"/>
        <v>First Class</v>
      </c>
      <c r="Q635" s="27">
        <f t="shared" si="69"/>
        <v>1</v>
      </c>
    </row>
    <row r="636" spans="1:17" x14ac:dyDescent="0.3">
      <c r="A636" s="15">
        <v>635</v>
      </c>
      <c r="B636" s="15">
        <v>0</v>
      </c>
      <c r="C636" s="15">
        <v>3</v>
      </c>
      <c r="D636" s="8" t="s">
        <v>1163</v>
      </c>
      <c r="E636" s="8" t="s">
        <v>14</v>
      </c>
      <c r="F636" s="24">
        <v>9</v>
      </c>
      <c r="G636" s="15">
        <v>3</v>
      </c>
      <c r="H636" s="15">
        <v>2</v>
      </c>
      <c r="I636" s="8" t="s">
        <v>138</v>
      </c>
      <c r="J636" s="20">
        <v>27.9</v>
      </c>
      <c r="K636" s="27" t="str">
        <f t="shared" si="63"/>
        <v>Died</v>
      </c>
      <c r="L636" s="27" t="str">
        <f t="shared" si="64"/>
        <v>Child</v>
      </c>
      <c r="M636" s="28">
        <f t="shared" si="65"/>
        <v>6</v>
      </c>
      <c r="N636" s="27" t="str">
        <f t="shared" si="66"/>
        <v>Large Family</v>
      </c>
      <c r="O636" s="27" t="str">
        <f t="shared" si="67"/>
        <v>Medium Fare</v>
      </c>
      <c r="P636" s="27" t="str">
        <f t="shared" si="68"/>
        <v>Third Class</v>
      </c>
      <c r="Q636" s="27">
        <f t="shared" si="69"/>
        <v>2</v>
      </c>
    </row>
    <row r="637" spans="1:17" x14ac:dyDescent="0.3">
      <c r="A637" s="16">
        <v>636</v>
      </c>
      <c r="B637" s="16">
        <v>1</v>
      </c>
      <c r="C637" s="16">
        <v>2</v>
      </c>
      <c r="D637" s="11" t="s">
        <v>1164</v>
      </c>
      <c r="E637" s="11" t="s">
        <v>14</v>
      </c>
      <c r="F637" s="25">
        <v>28</v>
      </c>
      <c r="G637" s="16">
        <v>0</v>
      </c>
      <c r="H637" s="16">
        <v>0</v>
      </c>
      <c r="I637" s="11" t="s">
        <v>1165</v>
      </c>
      <c r="J637" s="21">
        <v>13</v>
      </c>
      <c r="K637" s="27" t="str">
        <f t="shared" si="63"/>
        <v>Survived</v>
      </c>
      <c r="L637" s="27" t="str">
        <f t="shared" si="64"/>
        <v>Young Adult</v>
      </c>
      <c r="M637" s="28">
        <f t="shared" si="65"/>
        <v>1</v>
      </c>
      <c r="N637" s="27" t="str">
        <f t="shared" si="66"/>
        <v>Alone</v>
      </c>
      <c r="O637" s="27" t="str">
        <f t="shared" si="67"/>
        <v>Low Fare</v>
      </c>
      <c r="P637" s="27" t="str">
        <f t="shared" si="68"/>
        <v>Second Class</v>
      </c>
      <c r="Q637" s="27">
        <f t="shared" si="69"/>
        <v>2</v>
      </c>
    </row>
    <row r="638" spans="1:17" x14ac:dyDescent="0.3">
      <c r="A638" s="15">
        <v>637</v>
      </c>
      <c r="B638" s="15">
        <v>0</v>
      </c>
      <c r="C638" s="15">
        <v>3</v>
      </c>
      <c r="D638" s="8" t="s">
        <v>1166</v>
      </c>
      <c r="E638" s="8" t="s">
        <v>11</v>
      </c>
      <c r="F638" s="24">
        <v>32</v>
      </c>
      <c r="G638" s="15">
        <v>0</v>
      </c>
      <c r="H638" s="15">
        <v>0</v>
      </c>
      <c r="I638" s="8" t="s">
        <v>1167</v>
      </c>
      <c r="J638" s="20">
        <v>7.9249999999999998</v>
      </c>
      <c r="K638" s="27" t="str">
        <f t="shared" si="63"/>
        <v>Died</v>
      </c>
      <c r="L638" s="27" t="str">
        <f t="shared" si="64"/>
        <v>Young Adult</v>
      </c>
      <c r="M638" s="28">
        <f t="shared" si="65"/>
        <v>1</v>
      </c>
      <c r="N638" s="27" t="str">
        <f t="shared" si="66"/>
        <v>Alone</v>
      </c>
      <c r="O638" s="27" t="str">
        <f t="shared" si="67"/>
        <v>Low Fare</v>
      </c>
      <c r="P638" s="27" t="str">
        <f t="shared" si="68"/>
        <v>Third Class</v>
      </c>
      <c r="Q638" s="27">
        <f t="shared" si="69"/>
        <v>1</v>
      </c>
    </row>
    <row r="639" spans="1:17" x14ac:dyDescent="0.3">
      <c r="A639" s="16">
        <v>638</v>
      </c>
      <c r="B639" s="16">
        <v>0</v>
      </c>
      <c r="C639" s="16">
        <v>2</v>
      </c>
      <c r="D639" s="11" t="s">
        <v>1168</v>
      </c>
      <c r="E639" s="11" t="s">
        <v>11</v>
      </c>
      <c r="F639" s="25">
        <v>31</v>
      </c>
      <c r="G639" s="16">
        <v>1</v>
      </c>
      <c r="H639" s="16">
        <v>1</v>
      </c>
      <c r="I639" s="11" t="s">
        <v>462</v>
      </c>
      <c r="J639" s="21">
        <v>26.25</v>
      </c>
      <c r="K639" s="27" t="str">
        <f t="shared" si="63"/>
        <v>Died</v>
      </c>
      <c r="L639" s="27" t="str">
        <f t="shared" si="64"/>
        <v>Young Adult</v>
      </c>
      <c r="M639" s="28">
        <f t="shared" si="65"/>
        <v>3</v>
      </c>
      <c r="N639" s="27" t="str">
        <f t="shared" si="66"/>
        <v>Small Family</v>
      </c>
      <c r="O639" s="27" t="str">
        <f t="shared" si="67"/>
        <v>Medium Fare</v>
      </c>
      <c r="P639" s="27" t="str">
        <f t="shared" si="68"/>
        <v>Second Class</v>
      </c>
      <c r="Q639" s="27">
        <f t="shared" si="69"/>
        <v>1</v>
      </c>
    </row>
    <row r="640" spans="1:17" x14ac:dyDescent="0.3">
      <c r="A640" s="15">
        <v>639</v>
      </c>
      <c r="B640" s="15">
        <v>0</v>
      </c>
      <c r="C640" s="15">
        <v>3</v>
      </c>
      <c r="D640" s="8" t="s">
        <v>1169</v>
      </c>
      <c r="E640" s="8" t="s">
        <v>14</v>
      </c>
      <c r="F640" s="24">
        <v>41</v>
      </c>
      <c r="G640" s="15">
        <v>0</v>
      </c>
      <c r="H640" s="15">
        <v>5</v>
      </c>
      <c r="I640" s="8" t="s">
        <v>112</v>
      </c>
      <c r="J640" s="20">
        <v>39.6875</v>
      </c>
      <c r="K640" s="27" t="str">
        <f t="shared" si="63"/>
        <v>Died</v>
      </c>
      <c r="L640" s="27" t="str">
        <f t="shared" si="64"/>
        <v>Adult</v>
      </c>
      <c r="M640" s="28">
        <f t="shared" si="65"/>
        <v>6</v>
      </c>
      <c r="N640" s="27" t="str">
        <f t="shared" si="66"/>
        <v>Large Family</v>
      </c>
      <c r="O640" s="27" t="str">
        <f t="shared" si="67"/>
        <v>Medium Fare</v>
      </c>
      <c r="P640" s="27" t="str">
        <f t="shared" si="68"/>
        <v>Third Class</v>
      </c>
      <c r="Q640" s="27">
        <f t="shared" si="69"/>
        <v>2</v>
      </c>
    </row>
    <row r="641" spans="1:17" x14ac:dyDescent="0.3">
      <c r="A641" s="16">
        <v>640</v>
      </c>
      <c r="B641" s="16">
        <v>0</v>
      </c>
      <c r="C641" s="16">
        <v>3</v>
      </c>
      <c r="D641" s="11" t="s">
        <v>1170</v>
      </c>
      <c r="E641" s="11" t="s">
        <v>11</v>
      </c>
      <c r="F641" s="25">
        <v>26</v>
      </c>
      <c r="G641" s="16">
        <v>1</v>
      </c>
      <c r="H641" s="16">
        <v>0</v>
      </c>
      <c r="I641" s="11" t="s">
        <v>812</v>
      </c>
      <c r="J641" s="21">
        <v>16.100000000000001</v>
      </c>
      <c r="K641" s="27" t="str">
        <f t="shared" si="63"/>
        <v>Died</v>
      </c>
      <c r="L641" s="27" t="str">
        <f t="shared" si="64"/>
        <v>Young Adult</v>
      </c>
      <c r="M641" s="28">
        <f t="shared" si="65"/>
        <v>2</v>
      </c>
      <c r="N641" s="27" t="str">
        <f t="shared" si="66"/>
        <v>Small Family</v>
      </c>
      <c r="O641" s="27" t="str">
        <f t="shared" si="67"/>
        <v>Low Fare</v>
      </c>
      <c r="P641" s="27" t="str">
        <f t="shared" si="68"/>
        <v>Third Class</v>
      </c>
      <c r="Q641" s="27">
        <f t="shared" si="69"/>
        <v>1</v>
      </c>
    </row>
    <row r="642" spans="1:17" x14ac:dyDescent="0.3">
      <c r="A642" s="15">
        <v>641</v>
      </c>
      <c r="B642" s="15">
        <v>0</v>
      </c>
      <c r="C642" s="15">
        <v>3</v>
      </c>
      <c r="D642" s="8" t="s">
        <v>1171</v>
      </c>
      <c r="E642" s="8" t="s">
        <v>11</v>
      </c>
      <c r="F642" s="24">
        <v>20</v>
      </c>
      <c r="G642" s="15">
        <v>0</v>
      </c>
      <c r="H642" s="15">
        <v>0</v>
      </c>
      <c r="I642" s="8" t="s">
        <v>1172</v>
      </c>
      <c r="J642" s="20">
        <v>7.8541999999999996</v>
      </c>
      <c r="K642" s="27" t="str">
        <f t="shared" ref="K642:K705" si="70">IF(B642=1, "Survived", "Died")</f>
        <v>Died</v>
      </c>
      <c r="L642" s="27" t="str">
        <f t="shared" ref="L642:L705" si="71">IF(F642&lt;18, "Child", IF(F642&lt;35, "Young Adult", IF(F642&lt;60, "Adult", "Senior")))</f>
        <v>Young Adult</v>
      </c>
      <c r="M642" s="28">
        <f t="shared" ref="M642:M705" si="72">G642+H642+1</f>
        <v>1</v>
      </c>
      <c r="N642" s="27" t="str">
        <f t="shared" ref="N642:N705" si="73">IF(M642=1,"Alone",IF(M642&lt;=4,"Small Family","Large Family"))</f>
        <v>Alone</v>
      </c>
      <c r="O642" s="27" t="str">
        <f t="shared" ref="O642:O705" si="74">IF(J642&lt;25, "Low Fare", IF(J642&lt;=100, "Medium Fare", "High Fare"))</f>
        <v>Low Fare</v>
      </c>
      <c r="P642" s="27" t="str">
        <f t="shared" ref="P642:P705" si="75">IF(C642=1, "First Class", IF(C642=2, "Second Class", "Third Class"))</f>
        <v>Third Class</v>
      </c>
      <c r="Q642" s="27">
        <f t="shared" ref="Q642:Q705" si="76">IF(E642="male", 1, 2)</f>
        <v>1</v>
      </c>
    </row>
    <row r="643" spans="1:17" x14ac:dyDescent="0.3">
      <c r="A643" s="16">
        <v>642</v>
      </c>
      <c r="B643" s="16">
        <v>1</v>
      </c>
      <c r="C643" s="16">
        <v>1</v>
      </c>
      <c r="D643" s="11" t="s">
        <v>1173</v>
      </c>
      <c r="E643" s="11" t="s">
        <v>14</v>
      </c>
      <c r="F643" s="25">
        <v>24</v>
      </c>
      <c r="G643" s="16">
        <v>0</v>
      </c>
      <c r="H643" s="16">
        <v>0</v>
      </c>
      <c r="I643" s="11" t="s">
        <v>701</v>
      </c>
      <c r="J643" s="21">
        <v>69.3</v>
      </c>
      <c r="K643" s="27" t="str">
        <f t="shared" si="70"/>
        <v>Survived</v>
      </c>
      <c r="L643" s="27" t="str">
        <f t="shared" si="71"/>
        <v>Young Adult</v>
      </c>
      <c r="M643" s="28">
        <f t="shared" si="72"/>
        <v>1</v>
      </c>
      <c r="N643" s="27" t="str">
        <f t="shared" si="73"/>
        <v>Alone</v>
      </c>
      <c r="O643" s="27" t="str">
        <f t="shared" si="74"/>
        <v>Medium Fare</v>
      </c>
      <c r="P643" s="27" t="str">
        <f t="shared" si="75"/>
        <v>First Class</v>
      </c>
      <c r="Q643" s="27">
        <f t="shared" si="76"/>
        <v>2</v>
      </c>
    </row>
    <row r="644" spans="1:17" x14ac:dyDescent="0.3">
      <c r="A644" s="15">
        <v>643</v>
      </c>
      <c r="B644" s="15">
        <v>0</v>
      </c>
      <c r="C644" s="15">
        <v>3</v>
      </c>
      <c r="D644" s="8" t="s">
        <v>1174</v>
      </c>
      <c r="E644" s="8" t="s">
        <v>14</v>
      </c>
      <c r="F644" s="24">
        <v>2</v>
      </c>
      <c r="G644" s="15">
        <v>3</v>
      </c>
      <c r="H644" s="15">
        <v>2</v>
      </c>
      <c r="I644" s="8" t="s">
        <v>138</v>
      </c>
      <c r="J644" s="20">
        <v>27.9</v>
      </c>
      <c r="K644" s="27" t="str">
        <f t="shared" si="70"/>
        <v>Died</v>
      </c>
      <c r="L644" s="27" t="str">
        <f t="shared" si="71"/>
        <v>Child</v>
      </c>
      <c r="M644" s="28">
        <f t="shared" si="72"/>
        <v>6</v>
      </c>
      <c r="N644" s="27" t="str">
        <f t="shared" si="73"/>
        <v>Large Family</v>
      </c>
      <c r="O644" s="27" t="str">
        <f t="shared" si="74"/>
        <v>Medium Fare</v>
      </c>
      <c r="P644" s="27" t="str">
        <f t="shared" si="75"/>
        <v>Third Class</v>
      </c>
      <c r="Q644" s="27">
        <f t="shared" si="76"/>
        <v>2</v>
      </c>
    </row>
    <row r="645" spans="1:17" x14ac:dyDescent="0.3">
      <c r="A645" s="16">
        <v>644</v>
      </c>
      <c r="B645" s="16">
        <v>1</v>
      </c>
      <c r="C645" s="16">
        <v>3</v>
      </c>
      <c r="D645" s="11" t="s">
        <v>1175</v>
      </c>
      <c r="E645" s="11" t="s">
        <v>11</v>
      </c>
      <c r="F645" s="25">
        <v>26</v>
      </c>
      <c r="G645" s="16">
        <v>0</v>
      </c>
      <c r="H645" s="16">
        <v>0</v>
      </c>
      <c r="I645" s="11" t="s">
        <v>159</v>
      </c>
      <c r="J645" s="21">
        <v>56.495800000000003</v>
      </c>
      <c r="K645" s="27" t="str">
        <f t="shared" si="70"/>
        <v>Survived</v>
      </c>
      <c r="L645" s="27" t="str">
        <f t="shared" si="71"/>
        <v>Young Adult</v>
      </c>
      <c r="M645" s="28">
        <f t="shared" si="72"/>
        <v>1</v>
      </c>
      <c r="N645" s="27" t="str">
        <f t="shared" si="73"/>
        <v>Alone</v>
      </c>
      <c r="O645" s="27" t="str">
        <f t="shared" si="74"/>
        <v>Medium Fare</v>
      </c>
      <c r="P645" s="27" t="str">
        <f t="shared" si="75"/>
        <v>Third Class</v>
      </c>
      <c r="Q645" s="27">
        <f t="shared" si="76"/>
        <v>1</v>
      </c>
    </row>
    <row r="646" spans="1:17" x14ac:dyDescent="0.3">
      <c r="A646" s="15">
        <v>645</v>
      </c>
      <c r="B646" s="15">
        <v>1</v>
      </c>
      <c r="C646" s="15">
        <v>3</v>
      </c>
      <c r="D646" s="8" t="s">
        <v>1176</v>
      </c>
      <c r="E646" s="8" t="s">
        <v>14</v>
      </c>
      <c r="F646" s="24">
        <v>0.75</v>
      </c>
      <c r="G646" s="15">
        <v>2</v>
      </c>
      <c r="H646" s="15">
        <v>1</v>
      </c>
      <c r="I646" s="8" t="s">
        <v>840</v>
      </c>
      <c r="J646" s="20">
        <v>19.258299999999998</v>
      </c>
      <c r="K646" s="27" t="str">
        <f t="shared" si="70"/>
        <v>Survived</v>
      </c>
      <c r="L646" s="27" t="str">
        <f t="shared" si="71"/>
        <v>Child</v>
      </c>
      <c r="M646" s="28">
        <f t="shared" si="72"/>
        <v>4</v>
      </c>
      <c r="N646" s="27" t="str">
        <f t="shared" si="73"/>
        <v>Small Family</v>
      </c>
      <c r="O646" s="27" t="str">
        <f t="shared" si="74"/>
        <v>Low Fare</v>
      </c>
      <c r="P646" s="27" t="str">
        <f t="shared" si="75"/>
        <v>Third Class</v>
      </c>
      <c r="Q646" s="27">
        <f t="shared" si="76"/>
        <v>2</v>
      </c>
    </row>
    <row r="647" spans="1:17" x14ac:dyDescent="0.3">
      <c r="A647" s="16">
        <v>646</v>
      </c>
      <c r="B647" s="16">
        <v>1</v>
      </c>
      <c r="C647" s="16">
        <v>1</v>
      </c>
      <c r="D647" s="11" t="s">
        <v>1177</v>
      </c>
      <c r="E647" s="11" t="s">
        <v>11</v>
      </c>
      <c r="F647" s="25">
        <v>48</v>
      </c>
      <c r="G647" s="16">
        <v>1</v>
      </c>
      <c r="H647" s="16">
        <v>0</v>
      </c>
      <c r="I647" s="11" t="s">
        <v>116</v>
      </c>
      <c r="J647" s="21">
        <v>76.729200000000006</v>
      </c>
      <c r="K647" s="27" t="str">
        <f t="shared" si="70"/>
        <v>Survived</v>
      </c>
      <c r="L647" s="27" t="str">
        <f t="shared" si="71"/>
        <v>Adult</v>
      </c>
      <c r="M647" s="28">
        <f t="shared" si="72"/>
        <v>2</v>
      </c>
      <c r="N647" s="27" t="str">
        <f t="shared" si="73"/>
        <v>Small Family</v>
      </c>
      <c r="O647" s="27" t="str">
        <f t="shared" si="74"/>
        <v>Medium Fare</v>
      </c>
      <c r="P647" s="27" t="str">
        <f t="shared" si="75"/>
        <v>First Class</v>
      </c>
      <c r="Q647" s="27">
        <f t="shared" si="76"/>
        <v>1</v>
      </c>
    </row>
    <row r="648" spans="1:17" x14ac:dyDescent="0.3">
      <c r="A648" s="15">
        <v>647</v>
      </c>
      <c r="B648" s="15">
        <v>0</v>
      </c>
      <c r="C648" s="15">
        <v>3</v>
      </c>
      <c r="D648" s="8" t="s">
        <v>1178</v>
      </c>
      <c r="E648" s="8" t="s">
        <v>11</v>
      </c>
      <c r="F648" s="24">
        <v>19</v>
      </c>
      <c r="G648" s="15">
        <v>0</v>
      </c>
      <c r="H648" s="15">
        <v>0</v>
      </c>
      <c r="I648" s="8" t="s">
        <v>1179</v>
      </c>
      <c r="J648" s="20">
        <v>7.8958000000000004</v>
      </c>
      <c r="K648" s="27" t="str">
        <f t="shared" si="70"/>
        <v>Died</v>
      </c>
      <c r="L648" s="27" t="str">
        <f t="shared" si="71"/>
        <v>Young Adult</v>
      </c>
      <c r="M648" s="28">
        <f t="shared" si="72"/>
        <v>1</v>
      </c>
      <c r="N648" s="27" t="str">
        <f t="shared" si="73"/>
        <v>Alone</v>
      </c>
      <c r="O648" s="27" t="str">
        <f t="shared" si="74"/>
        <v>Low Fare</v>
      </c>
      <c r="P648" s="27" t="str">
        <f t="shared" si="75"/>
        <v>Third Class</v>
      </c>
      <c r="Q648" s="27">
        <f t="shared" si="76"/>
        <v>1</v>
      </c>
    </row>
    <row r="649" spans="1:17" x14ac:dyDescent="0.3">
      <c r="A649" s="16">
        <v>648</v>
      </c>
      <c r="B649" s="16">
        <v>1</v>
      </c>
      <c r="C649" s="16">
        <v>1</v>
      </c>
      <c r="D649" s="11" t="s">
        <v>1180</v>
      </c>
      <c r="E649" s="11" t="s">
        <v>11</v>
      </c>
      <c r="F649" s="25">
        <v>56</v>
      </c>
      <c r="G649" s="16">
        <v>0</v>
      </c>
      <c r="H649" s="16">
        <v>0</v>
      </c>
      <c r="I649" s="11" t="s">
        <v>1181</v>
      </c>
      <c r="J649" s="21">
        <v>35.5</v>
      </c>
      <c r="K649" s="27" t="str">
        <f t="shared" si="70"/>
        <v>Survived</v>
      </c>
      <c r="L649" s="27" t="str">
        <f t="shared" si="71"/>
        <v>Adult</v>
      </c>
      <c r="M649" s="28">
        <f t="shared" si="72"/>
        <v>1</v>
      </c>
      <c r="N649" s="27" t="str">
        <f t="shared" si="73"/>
        <v>Alone</v>
      </c>
      <c r="O649" s="27" t="str">
        <f t="shared" si="74"/>
        <v>Medium Fare</v>
      </c>
      <c r="P649" s="27" t="str">
        <f t="shared" si="75"/>
        <v>First Class</v>
      </c>
      <c r="Q649" s="27">
        <f t="shared" si="76"/>
        <v>1</v>
      </c>
    </row>
    <row r="650" spans="1:17" x14ac:dyDescent="0.3">
      <c r="A650" s="15">
        <v>649</v>
      </c>
      <c r="B650" s="15">
        <v>0</v>
      </c>
      <c r="C650" s="15">
        <v>3</v>
      </c>
      <c r="D650" s="8" t="s">
        <v>1182</v>
      </c>
      <c r="E650" s="8" t="s">
        <v>11</v>
      </c>
      <c r="F650" s="24">
        <v>26</v>
      </c>
      <c r="G650" s="15">
        <v>0</v>
      </c>
      <c r="H650" s="15">
        <v>0</v>
      </c>
      <c r="I650" s="8" t="s">
        <v>1183</v>
      </c>
      <c r="J650" s="20">
        <v>7.55</v>
      </c>
      <c r="K650" s="27" t="str">
        <f t="shared" si="70"/>
        <v>Died</v>
      </c>
      <c r="L650" s="27" t="str">
        <f t="shared" si="71"/>
        <v>Young Adult</v>
      </c>
      <c r="M650" s="28">
        <f t="shared" si="72"/>
        <v>1</v>
      </c>
      <c r="N650" s="27" t="str">
        <f t="shared" si="73"/>
        <v>Alone</v>
      </c>
      <c r="O650" s="27" t="str">
        <f t="shared" si="74"/>
        <v>Low Fare</v>
      </c>
      <c r="P650" s="27" t="str">
        <f t="shared" si="75"/>
        <v>Third Class</v>
      </c>
      <c r="Q650" s="27">
        <f t="shared" si="76"/>
        <v>1</v>
      </c>
    </row>
    <row r="651" spans="1:17" x14ac:dyDescent="0.3">
      <c r="A651" s="16">
        <v>650</v>
      </c>
      <c r="B651" s="16">
        <v>1</v>
      </c>
      <c r="C651" s="16">
        <v>3</v>
      </c>
      <c r="D651" s="11" t="s">
        <v>1184</v>
      </c>
      <c r="E651" s="11" t="s">
        <v>14</v>
      </c>
      <c r="F651" s="25">
        <v>23</v>
      </c>
      <c r="G651" s="16">
        <v>0</v>
      </c>
      <c r="H651" s="16">
        <v>0</v>
      </c>
      <c r="I651" s="11" t="s">
        <v>1185</v>
      </c>
      <c r="J651" s="21">
        <v>7.55</v>
      </c>
      <c r="K651" s="27" t="str">
        <f t="shared" si="70"/>
        <v>Survived</v>
      </c>
      <c r="L651" s="27" t="str">
        <f t="shared" si="71"/>
        <v>Young Adult</v>
      </c>
      <c r="M651" s="28">
        <f t="shared" si="72"/>
        <v>1</v>
      </c>
      <c r="N651" s="27" t="str">
        <f t="shared" si="73"/>
        <v>Alone</v>
      </c>
      <c r="O651" s="27" t="str">
        <f t="shared" si="74"/>
        <v>Low Fare</v>
      </c>
      <c r="P651" s="27" t="str">
        <f t="shared" si="75"/>
        <v>Third Class</v>
      </c>
      <c r="Q651" s="27">
        <f t="shared" si="76"/>
        <v>2</v>
      </c>
    </row>
    <row r="652" spans="1:17" x14ac:dyDescent="0.3">
      <c r="A652" s="15">
        <v>651</v>
      </c>
      <c r="B652" s="15">
        <v>0</v>
      </c>
      <c r="C652" s="15">
        <v>3</v>
      </c>
      <c r="D652" s="8" t="s">
        <v>1186</v>
      </c>
      <c r="E652" s="8" t="s">
        <v>11</v>
      </c>
      <c r="F652" s="24">
        <v>26</v>
      </c>
      <c r="G652" s="15">
        <v>0</v>
      </c>
      <c r="H652" s="15">
        <v>0</v>
      </c>
      <c r="I652" s="8" t="s">
        <v>1187</v>
      </c>
      <c r="J652" s="20">
        <v>7.8958000000000004</v>
      </c>
      <c r="K652" s="27" t="str">
        <f t="shared" si="70"/>
        <v>Died</v>
      </c>
      <c r="L652" s="27" t="str">
        <f t="shared" si="71"/>
        <v>Young Adult</v>
      </c>
      <c r="M652" s="28">
        <f t="shared" si="72"/>
        <v>1</v>
      </c>
      <c r="N652" s="27" t="str">
        <f t="shared" si="73"/>
        <v>Alone</v>
      </c>
      <c r="O652" s="27" t="str">
        <f t="shared" si="74"/>
        <v>Low Fare</v>
      </c>
      <c r="P652" s="27" t="str">
        <f t="shared" si="75"/>
        <v>Third Class</v>
      </c>
      <c r="Q652" s="27">
        <f t="shared" si="76"/>
        <v>1</v>
      </c>
    </row>
    <row r="653" spans="1:17" x14ac:dyDescent="0.3">
      <c r="A653" s="16">
        <v>652</v>
      </c>
      <c r="B653" s="16">
        <v>1</v>
      </c>
      <c r="C653" s="16">
        <v>2</v>
      </c>
      <c r="D653" s="11" t="s">
        <v>1188</v>
      </c>
      <c r="E653" s="11" t="s">
        <v>14</v>
      </c>
      <c r="F653" s="25">
        <v>18</v>
      </c>
      <c r="G653" s="16">
        <v>0</v>
      </c>
      <c r="H653" s="16">
        <v>1</v>
      </c>
      <c r="I653" s="11" t="s">
        <v>206</v>
      </c>
      <c r="J653" s="21">
        <v>23</v>
      </c>
      <c r="K653" s="27" t="str">
        <f t="shared" si="70"/>
        <v>Survived</v>
      </c>
      <c r="L653" s="27" t="str">
        <f t="shared" si="71"/>
        <v>Young Adult</v>
      </c>
      <c r="M653" s="28">
        <f t="shared" si="72"/>
        <v>2</v>
      </c>
      <c r="N653" s="27" t="str">
        <f t="shared" si="73"/>
        <v>Small Family</v>
      </c>
      <c r="O653" s="27" t="str">
        <f t="shared" si="74"/>
        <v>Low Fare</v>
      </c>
      <c r="P653" s="27" t="str">
        <f t="shared" si="75"/>
        <v>Second Class</v>
      </c>
      <c r="Q653" s="27">
        <f t="shared" si="76"/>
        <v>2</v>
      </c>
    </row>
    <row r="654" spans="1:17" x14ac:dyDescent="0.3">
      <c r="A654" s="15">
        <v>653</v>
      </c>
      <c r="B654" s="15">
        <v>0</v>
      </c>
      <c r="C654" s="15">
        <v>3</v>
      </c>
      <c r="D654" s="8" t="s">
        <v>1189</v>
      </c>
      <c r="E654" s="8" t="s">
        <v>11</v>
      </c>
      <c r="F654" s="24">
        <v>21</v>
      </c>
      <c r="G654" s="15">
        <v>0</v>
      </c>
      <c r="H654" s="15">
        <v>0</v>
      </c>
      <c r="I654" s="8" t="s">
        <v>1190</v>
      </c>
      <c r="J654" s="20">
        <v>8.4332999999999991</v>
      </c>
      <c r="K654" s="27" t="str">
        <f t="shared" si="70"/>
        <v>Died</v>
      </c>
      <c r="L654" s="27" t="str">
        <f t="shared" si="71"/>
        <v>Young Adult</v>
      </c>
      <c r="M654" s="28">
        <f t="shared" si="72"/>
        <v>1</v>
      </c>
      <c r="N654" s="27" t="str">
        <f t="shared" si="73"/>
        <v>Alone</v>
      </c>
      <c r="O654" s="27" t="str">
        <f t="shared" si="74"/>
        <v>Low Fare</v>
      </c>
      <c r="P654" s="27" t="str">
        <f t="shared" si="75"/>
        <v>Third Class</v>
      </c>
      <c r="Q654" s="27">
        <f t="shared" si="76"/>
        <v>1</v>
      </c>
    </row>
    <row r="655" spans="1:17" x14ac:dyDescent="0.3">
      <c r="A655" s="16">
        <v>654</v>
      </c>
      <c r="B655" s="16">
        <v>1</v>
      </c>
      <c r="C655" s="16">
        <v>3</v>
      </c>
      <c r="D655" s="11" t="s">
        <v>1191</v>
      </c>
      <c r="E655" s="11" t="s">
        <v>14</v>
      </c>
      <c r="F655" s="25">
        <v>26</v>
      </c>
      <c r="G655" s="16">
        <v>0</v>
      </c>
      <c r="H655" s="16">
        <v>0</v>
      </c>
      <c r="I655" s="11" t="s">
        <v>1192</v>
      </c>
      <c r="J655" s="21">
        <v>7.8292000000000002</v>
      </c>
      <c r="K655" s="27" t="str">
        <f t="shared" si="70"/>
        <v>Survived</v>
      </c>
      <c r="L655" s="27" t="str">
        <f t="shared" si="71"/>
        <v>Young Adult</v>
      </c>
      <c r="M655" s="28">
        <f t="shared" si="72"/>
        <v>1</v>
      </c>
      <c r="N655" s="27" t="str">
        <f t="shared" si="73"/>
        <v>Alone</v>
      </c>
      <c r="O655" s="27" t="str">
        <f t="shared" si="74"/>
        <v>Low Fare</v>
      </c>
      <c r="P655" s="27" t="str">
        <f t="shared" si="75"/>
        <v>Third Class</v>
      </c>
      <c r="Q655" s="27">
        <f t="shared" si="76"/>
        <v>2</v>
      </c>
    </row>
    <row r="656" spans="1:17" x14ac:dyDescent="0.3">
      <c r="A656" s="15">
        <v>655</v>
      </c>
      <c r="B656" s="15">
        <v>0</v>
      </c>
      <c r="C656" s="15">
        <v>3</v>
      </c>
      <c r="D656" s="8" t="s">
        <v>1193</v>
      </c>
      <c r="E656" s="8" t="s">
        <v>14</v>
      </c>
      <c r="F656" s="24">
        <v>18</v>
      </c>
      <c r="G656" s="15">
        <v>0</v>
      </c>
      <c r="H656" s="15">
        <v>0</v>
      </c>
      <c r="I656" s="8" t="s">
        <v>1194</v>
      </c>
      <c r="J656" s="20">
        <v>6.75</v>
      </c>
      <c r="K656" s="27" t="str">
        <f t="shared" si="70"/>
        <v>Died</v>
      </c>
      <c r="L656" s="27" t="str">
        <f t="shared" si="71"/>
        <v>Young Adult</v>
      </c>
      <c r="M656" s="28">
        <f t="shared" si="72"/>
        <v>1</v>
      </c>
      <c r="N656" s="27" t="str">
        <f t="shared" si="73"/>
        <v>Alone</v>
      </c>
      <c r="O656" s="27" t="str">
        <f t="shared" si="74"/>
        <v>Low Fare</v>
      </c>
      <c r="P656" s="27" t="str">
        <f t="shared" si="75"/>
        <v>Third Class</v>
      </c>
      <c r="Q656" s="27">
        <f t="shared" si="76"/>
        <v>2</v>
      </c>
    </row>
    <row r="657" spans="1:17" x14ac:dyDescent="0.3">
      <c r="A657" s="16">
        <v>656</v>
      </c>
      <c r="B657" s="16">
        <v>0</v>
      </c>
      <c r="C657" s="16">
        <v>2</v>
      </c>
      <c r="D657" s="11" t="s">
        <v>1195</v>
      </c>
      <c r="E657" s="11" t="s">
        <v>11</v>
      </c>
      <c r="F657" s="25">
        <v>24</v>
      </c>
      <c r="G657" s="16">
        <v>2</v>
      </c>
      <c r="H657" s="16">
        <v>0</v>
      </c>
      <c r="I657" s="11" t="s">
        <v>155</v>
      </c>
      <c r="J657" s="21">
        <v>73.5</v>
      </c>
      <c r="K657" s="27" t="str">
        <f t="shared" si="70"/>
        <v>Died</v>
      </c>
      <c r="L657" s="27" t="str">
        <f t="shared" si="71"/>
        <v>Young Adult</v>
      </c>
      <c r="M657" s="28">
        <f t="shared" si="72"/>
        <v>3</v>
      </c>
      <c r="N657" s="27" t="str">
        <f t="shared" si="73"/>
        <v>Small Family</v>
      </c>
      <c r="O657" s="27" t="str">
        <f t="shared" si="74"/>
        <v>Medium Fare</v>
      </c>
      <c r="P657" s="27" t="str">
        <f t="shared" si="75"/>
        <v>Second Class</v>
      </c>
      <c r="Q657" s="27">
        <f t="shared" si="76"/>
        <v>1</v>
      </c>
    </row>
    <row r="658" spans="1:17" x14ac:dyDescent="0.3">
      <c r="A658" s="15">
        <v>657</v>
      </c>
      <c r="B658" s="15">
        <v>0</v>
      </c>
      <c r="C658" s="15">
        <v>3</v>
      </c>
      <c r="D658" s="8" t="s">
        <v>1196</v>
      </c>
      <c r="E658" s="8" t="s">
        <v>11</v>
      </c>
      <c r="F658" s="24">
        <v>26</v>
      </c>
      <c r="G658" s="15">
        <v>0</v>
      </c>
      <c r="H658" s="15">
        <v>0</v>
      </c>
      <c r="I658" s="8" t="s">
        <v>1197</v>
      </c>
      <c r="J658" s="20">
        <v>7.8958000000000004</v>
      </c>
      <c r="K658" s="27" t="str">
        <f t="shared" si="70"/>
        <v>Died</v>
      </c>
      <c r="L658" s="27" t="str">
        <f t="shared" si="71"/>
        <v>Young Adult</v>
      </c>
      <c r="M658" s="28">
        <f t="shared" si="72"/>
        <v>1</v>
      </c>
      <c r="N658" s="27" t="str">
        <f t="shared" si="73"/>
        <v>Alone</v>
      </c>
      <c r="O658" s="27" t="str">
        <f t="shared" si="74"/>
        <v>Low Fare</v>
      </c>
      <c r="P658" s="27" t="str">
        <f t="shared" si="75"/>
        <v>Third Class</v>
      </c>
      <c r="Q658" s="27">
        <f t="shared" si="76"/>
        <v>1</v>
      </c>
    </row>
    <row r="659" spans="1:17" x14ac:dyDescent="0.3">
      <c r="A659" s="16">
        <v>658</v>
      </c>
      <c r="B659" s="16">
        <v>0</v>
      </c>
      <c r="C659" s="16">
        <v>3</v>
      </c>
      <c r="D659" s="11" t="s">
        <v>1198</v>
      </c>
      <c r="E659" s="11" t="s">
        <v>14</v>
      </c>
      <c r="F659" s="25">
        <v>32</v>
      </c>
      <c r="G659" s="16">
        <v>1</v>
      </c>
      <c r="H659" s="16">
        <v>1</v>
      </c>
      <c r="I659" s="11" t="s">
        <v>371</v>
      </c>
      <c r="J659" s="21">
        <v>15.5</v>
      </c>
      <c r="K659" s="27" t="str">
        <f t="shared" si="70"/>
        <v>Died</v>
      </c>
      <c r="L659" s="27" t="str">
        <f t="shared" si="71"/>
        <v>Young Adult</v>
      </c>
      <c r="M659" s="28">
        <f t="shared" si="72"/>
        <v>3</v>
      </c>
      <c r="N659" s="27" t="str">
        <f t="shared" si="73"/>
        <v>Small Family</v>
      </c>
      <c r="O659" s="27" t="str">
        <f t="shared" si="74"/>
        <v>Low Fare</v>
      </c>
      <c r="P659" s="27" t="str">
        <f t="shared" si="75"/>
        <v>Third Class</v>
      </c>
      <c r="Q659" s="27">
        <f t="shared" si="76"/>
        <v>2</v>
      </c>
    </row>
    <row r="660" spans="1:17" x14ac:dyDescent="0.3">
      <c r="A660" s="15">
        <v>659</v>
      </c>
      <c r="B660" s="15">
        <v>0</v>
      </c>
      <c r="C660" s="15">
        <v>2</v>
      </c>
      <c r="D660" s="8" t="s">
        <v>1199</v>
      </c>
      <c r="E660" s="8" t="s">
        <v>11</v>
      </c>
      <c r="F660" s="24">
        <v>23</v>
      </c>
      <c r="G660" s="15">
        <v>0</v>
      </c>
      <c r="H660" s="15">
        <v>0</v>
      </c>
      <c r="I660" s="8" t="s">
        <v>1200</v>
      </c>
      <c r="J660" s="20">
        <v>13</v>
      </c>
      <c r="K660" s="27" t="str">
        <f t="shared" si="70"/>
        <v>Died</v>
      </c>
      <c r="L660" s="27" t="str">
        <f t="shared" si="71"/>
        <v>Young Adult</v>
      </c>
      <c r="M660" s="28">
        <f t="shared" si="72"/>
        <v>1</v>
      </c>
      <c r="N660" s="27" t="str">
        <f t="shared" si="73"/>
        <v>Alone</v>
      </c>
      <c r="O660" s="27" t="str">
        <f t="shared" si="74"/>
        <v>Low Fare</v>
      </c>
      <c r="P660" s="27" t="str">
        <f t="shared" si="75"/>
        <v>Second Class</v>
      </c>
      <c r="Q660" s="27">
        <f t="shared" si="76"/>
        <v>1</v>
      </c>
    </row>
    <row r="661" spans="1:17" x14ac:dyDescent="0.3">
      <c r="A661" s="16">
        <v>660</v>
      </c>
      <c r="B661" s="16">
        <v>0</v>
      </c>
      <c r="C661" s="16">
        <v>1</v>
      </c>
      <c r="D661" s="11" t="s">
        <v>1201</v>
      </c>
      <c r="E661" s="11" t="s">
        <v>11</v>
      </c>
      <c r="F661" s="25">
        <v>58</v>
      </c>
      <c r="G661" s="16">
        <v>0</v>
      </c>
      <c r="H661" s="16">
        <v>2</v>
      </c>
      <c r="I661" s="11" t="s">
        <v>421</v>
      </c>
      <c r="J661" s="21">
        <v>113.27500000000001</v>
      </c>
      <c r="K661" s="27" t="str">
        <f t="shared" si="70"/>
        <v>Died</v>
      </c>
      <c r="L661" s="27" t="str">
        <f t="shared" si="71"/>
        <v>Adult</v>
      </c>
      <c r="M661" s="28">
        <f t="shared" si="72"/>
        <v>3</v>
      </c>
      <c r="N661" s="27" t="str">
        <f t="shared" si="73"/>
        <v>Small Family</v>
      </c>
      <c r="O661" s="27" t="str">
        <f t="shared" si="74"/>
        <v>High Fare</v>
      </c>
      <c r="P661" s="27" t="str">
        <f t="shared" si="75"/>
        <v>First Class</v>
      </c>
      <c r="Q661" s="27">
        <f t="shared" si="76"/>
        <v>1</v>
      </c>
    </row>
    <row r="662" spans="1:17" x14ac:dyDescent="0.3">
      <c r="A662" s="15">
        <v>661</v>
      </c>
      <c r="B662" s="15">
        <v>1</v>
      </c>
      <c r="C662" s="15">
        <v>1</v>
      </c>
      <c r="D662" s="8" t="s">
        <v>1202</v>
      </c>
      <c r="E662" s="8" t="s">
        <v>11</v>
      </c>
      <c r="F662" s="24">
        <v>50</v>
      </c>
      <c r="G662" s="15">
        <v>2</v>
      </c>
      <c r="H662" s="15">
        <v>0</v>
      </c>
      <c r="I662" s="8" t="s">
        <v>639</v>
      </c>
      <c r="J662" s="20">
        <v>133.65</v>
      </c>
      <c r="K662" s="27" t="str">
        <f t="shared" si="70"/>
        <v>Survived</v>
      </c>
      <c r="L662" s="27" t="str">
        <f t="shared" si="71"/>
        <v>Adult</v>
      </c>
      <c r="M662" s="28">
        <f t="shared" si="72"/>
        <v>3</v>
      </c>
      <c r="N662" s="27" t="str">
        <f t="shared" si="73"/>
        <v>Small Family</v>
      </c>
      <c r="O662" s="27" t="str">
        <f t="shared" si="74"/>
        <v>High Fare</v>
      </c>
      <c r="P662" s="27" t="str">
        <f t="shared" si="75"/>
        <v>First Class</v>
      </c>
      <c r="Q662" s="27">
        <f t="shared" si="76"/>
        <v>1</v>
      </c>
    </row>
    <row r="663" spans="1:17" x14ac:dyDescent="0.3">
      <c r="A663" s="16">
        <v>662</v>
      </c>
      <c r="B663" s="16">
        <v>0</v>
      </c>
      <c r="C663" s="16">
        <v>3</v>
      </c>
      <c r="D663" s="11" t="s">
        <v>1203</v>
      </c>
      <c r="E663" s="11" t="s">
        <v>11</v>
      </c>
      <c r="F663" s="25">
        <v>40</v>
      </c>
      <c r="G663" s="16">
        <v>0</v>
      </c>
      <c r="H663" s="16">
        <v>0</v>
      </c>
      <c r="I663" s="11" t="s">
        <v>1204</v>
      </c>
      <c r="J663" s="21">
        <v>7.2249999999999996</v>
      </c>
      <c r="K663" s="27" t="str">
        <f t="shared" si="70"/>
        <v>Died</v>
      </c>
      <c r="L663" s="27" t="str">
        <f t="shared" si="71"/>
        <v>Adult</v>
      </c>
      <c r="M663" s="28">
        <f t="shared" si="72"/>
        <v>1</v>
      </c>
      <c r="N663" s="27" t="str">
        <f t="shared" si="73"/>
        <v>Alone</v>
      </c>
      <c r="O663" s="27" t="str">
        <f t="shared" si="74"/>
        <v>Low Fare</v>
      </c>
      <c r="P663" s="27" t="str">
        <f t="shared" si="75"/>
        <v>Third Class</v>
      </c>
      <c r="Q663" s="27">
        <f t="shared" si="76"/>
        <v>1</v>
      </c>
    </row>
    <row r="664" spans="1:17" x14ac:dyDescent="0.3">
      <c r="A664" s="15">
        <v>663</v>
      </c>
      <c r="B664" s="15">
        <v>0</v>
      </c>
      <c r="C664" s="15">
        <v>1</v>
      </c>
      <c r="D664" s="8" t="s">
        <v>1205</v>
      </c>
      <c r="E664" s="8" t="s">
        <v>11</v>
      </c>
      <c r="F664" s="24">
        <v>47</v>
      </c>
      <c r="G664" s="15">
        <v>0</v>
      </c>
      <c r="H664" s="15">
        <v>0</v>
      </c>
      <c r="I664" s="8" t="s">
        <v>1206</v>
      </c>
      <c r="J664" s="20">
        <v>25.587499999999999</v>
      </c>
      <c r="K664" s="27" t="str">
        <f t="shared" si="70"/>
        <v>Died</v>
      </c>
      <c r="L664" s="27" t="str">
        <f t="shared" si="71"/>
        <v>Adult</v>
      </c>
      <c r="M664" s="28">
        <f t="shared" si="72"/>
        <v>1</v>
      </c>
      <c r="N664" s="27" t="str">
        <f t="shared" si="73"/>
        <v>Alone</v>
      </c>
      <c r="O664" s="27" t="str">
        <f t="shared" si="74"/>
        <v>Medium Fare</v>
      </c>
      <c r="P664" s="27" t="str">
        <f t="shared" si="75"/>
        <v>First Class</v>
      </c>
      <c r="Q664" s="27">
        <f t="shared" si="76"/>
        <v>1</v>
      </c>
    </row>
    <row r="665" spans="1:17" x14ac:dyDescent="0.3">
      <c r="A665" s="16">
        <v>664</v>
      </c>
      <c r="B665" s="16">
        <v>0</v>
      </c>
      <c r="C665" s="16">
        <v>3</v>
      </c>
      <c r="D665" s="11" t="s">
        <v>1207</v>
      </c>
      <c r="E665" s="11" t="s">
        <v>11</v>
      </c>
      <c r="F665" s="25">
        <v>36</v>
      </c>
      <c r="G665" s="16">
        <v>0</v>
      </c>
      <c r="H665" s="16">
        <v>0</v>
      </c>
      <c r="I665" s="11" t="s">
        <v>1208</v>
      </c>
      <c r="J665" s="21">
        <v>7.4958</v>
      </c>
      <c r="K665" s="27" t="str">
        <f t="shared" si="70"/>
        <v>Died</v>
      </c>
      <c r="L665" s="27" t="str">
        <f t="shared" si="71"/>
        <v>Adult</v>
      </c>
      <c r="M665" s="28">
        <f t="shared" si="72"/>
        <v>1</v>
      </c>
      <c r="N665" s="27" t="str">
        <f t="shared" si="73"/>
        <v>Alone</v>
      </c>
      <c r="O665" s="27" t="str">
        <f t="shared" si="74"/>
        <v>Low Fare</v>
      </c>
      <c r="P665" s="27" t="str">
        <f t="shared" si="75"/>
        <v>Third Class</v>
      </c>
      <c r="Q665" s="27">
        <f t="shared" si="76"/>
        <v>1</v>
      </c>
    </row>
    <row r="666" spans="1:17" x14ac:dyDescent="0.3">
      <c r="A666" s="15">
        <v>665</v>
      </c>
      <c r="B666" s="15">
        <v>1</v>
      </c>
      <c r="C666" s="15">
        <v>3</v>
      </c>
      <c r="D666" s="8" t="s">
        <v>1209</v>
      </c>
      <c r="E666" s="8" t="s">
        <v>11</v>
      </c>
      <c r="F666" s="24">
        <v>20</v>
      </c>
      <c r="G666" s="15">
        <v>1</v>
      </c>
      <c r="H666" s="15">
        <v>0</v>
      </c>
      <c r="I666" s="8" t="s">
        <v>1210</v>
      </c>
      <c r="J666" s="20">
        <v>7.9249999999999998</v>
      </c>
      <c r="K666" s="27" t="str">
        <f t="shared" si="70"/>
        <v>Survived</v>
      </c>
      <c r="L666" s="27" t="str">
        <f t="shared" si="71"/>
        <v>Young Adult</v>
      </c>
      <c r="M666" s="28">
        <f t="shared" si="72"/>
        <v>2</v>
      </c>
      <c r="N666" s="27" t="str">
        <f t="shared" si="73"/>
        <v>Small Family</v>
      </c>
      <c r="O666" s="27" t="str">
        <f t="shared" si="74"/>
        <v>Low Fare</v>
      </c>
      <c r="P666" s="27" t="str">
        <f t="shared" si="75"/>
        <v>Third Class</v>
      </c>
      <c r="Q666" s="27">
        <f t="shared" si="76"/>
        <v>1</v>
      </c>
    </row>
    <row r="667" spans="1:17" x14ac:dyDescent="0.3">
      <c r="A667" s="16">
        <v>666</v>
      </c>
      <c r="B667" s="16">
        <v>0</v>
      </c>
      <c r="C667" s="16">
        <v>2</v>
      </c>
      <c r="D667" s="11" t="s">
        <v>1211</v>
      </c>
      <c r="E667" s="11" t="s">
        <v>11</v>
      </c>
      <c r="F667" s="25">
        <v>32</v>
      </c>
      <c r="G667" s="16">
        <v>2</v>
      </c>
      <c r="H667" s="16">
        <v>0</v>
      </c>
      <c r="I667" s="11" t="s">
        <v>155</v>
      </c>
      <c r="J667" s="21">
        <v>73.5</v>
      </c>
      <c r="K667" s="27" t="str">
        <f t="shared" si="70"/>
        <v>Died</v>
      </c>
      <c r="L667" s="27" t="str">
        <f t="shared" si="71"/>
        <v>Young Adult</v>
      </c>
      <c r="M667" s="28">
        <f t="shared" si="72"/>
        <v>3</v>
      </c>
      <c r="N667" s="27" t="str">
        <f t="shared" si="73"/>
        <v>Small Family</v>
      </c>
      <c r="O667" s="27" t="str">
        <f t="shared" si="74"/>
        <v>Medium Fare</v>
      </c>
      <c r="P667" s="27" t="str">
        <f t="shared" si="75"/>
        <v>Second Class</v>
      </c>
      <c r="Q667" s="27">
        <f t="shared" si="76"/>
        <v>1</v>
      </c>
    </row>
    <row r="668" spans="1:17" x14ac:dyDescent="0.3">
      <c r="A668" s="15">
        <v>667</v>
      </c>
      <c r="B668" s="15">
        <v>0</v>
      </c>
      <c r="C668" s="15">
        <v>2</v>
      </c>
      <c r="D668" s="8" t="s">
        <v>1212</v>
      </c>
      <c r="E668" s="8" t="s">
        <v>11</v>
      </c>
      <c r="F668" s="24">
        <v>25</v>
      </c>
      <c r="G668" s="15">
        <v>0</v>
      </c>
      <c r="H668" s="15">
        <v>0</v>
      </c>
      <c r="I668" s="8" t="s">
        <v>1213</v>
      </c>
      <c r="J668" s="20">
        <v>13</v>
      </c>
      <c r="K668" s="27" t="str">
        <f t="shared" si="70"/>
        <v>Died</v>
      </c>
      <c r="L668" s="27" t="str">
        <f t="shared" si="71"/>
        <v>Young Adult</v>
      </c>
      <c r="M668" s="28">
        <f t="shared" si="72"/>
        <v>1</v>
      </c>
      <c r="N668" s="27" t="str">
        <f t="shared" si="73"/>
        <v>Alone</v>
      </c>
      <c r="O668" s="27" t="str">
        <f t="shared" si="74"/>
        <v>Low Fare</v>
      </c>
      <c r="P668" s="27" t="str">
        <f t="shared" si="75"/>
        <v>Second Class</v>
      </c>
      <c r="Q668" s="27">
        <f t="shared" si="76"/>
        <v>1</v>
      </c>
    </row>
    <row r="669" spans="1:17" x14ac:dyDescent="0.3">
      <c r="A669" s="16">
        <v>668</v>
      </c>
      <c r="B669" s="16">
        <v>0</v>
      </c>
      <c r="C669" s="16">
        <v>3</v>
      </c>
      <c r="D669" s="11" t="s">
        <v>1214</v>
      </c>
      <c r="E669" s="11" t="s">
        <v>11</v>
      </c>
      <c r="F669" s="25">
        <v>26</v>
      </c>
      <c r="G669" s="16">
        <v>0</v>
      </c>
      <c r="H669" s="16">
        <v>0</v>
      </c>
      <c r="I669" s="11" t="s">
        <v>1215</v>
      </c>
      <c r="J669" s="21">
        <v>7.7750000000000004</v>
      </c>
      <c r="K669" s="27" t="str">
        <f t="shared" si="70"/>
        <v>Died</v>
      </c>
      <c r="L669" s="27" t="str">
        <f t="shared" si="71"/>
        <v>Young Adult</v>
      </c>
      <c r="M669" s="28">
        <f t="shared" si="72"/>
        <v>1</v>
      </c>
      <c r="N669" s="27" t="str">
        <f t="shared" si="73"/>
        <v>Alone</v>
      </c>
      <c r="O669" s="27" t="str">
        <f t="shared" si="74"/>
        <v>Low Fare</v>
      </c>
      <c r="P669" s="27" t="str">
        <f t="shared" si="75"/>
        <v>Third Class</v>
      </c>
      <c r="Q669" s="27">
        <f t="shared" si="76"/>
        <v>1</v>
      </c>
    </row>
    <row r="670" spans="1:17" x14ac:dyDescent="0.3">
      <c r="A670" s="15">
        <v>669</v>
      </c>
      <c r="B670" s="15">
        <v>0</v>
      </c>
      <c r="C670" s="15">
        <v>3</v>
      </c>
      <c r="D670" s="8" t="s">
        <v>1216</v>
      </c>
      <c r="E670" s="8" t="s">
        <v>11</v>
      </c>
      <c r="F670" s="24">
        <v>43</v>
      </c>
      <c r="G670" s="15">
        <v>0</v>
      </c>
      <c r="H670" s="15">
        <v>0</v>
      </c>
      <c r="I670" s="8" t="s">
        <v>1217</v>
      </c>
      <c r="J670" s="20">
        <v>8.0500000000000007</v>
      </c>
      <c r="K670" s="27" t="str">
        <f t="shared" si="70"/>
        <v>Died</v>
      </c>
      <c r="L670" s="27" t="str">
        <f t="shared" si="71"/>
        <v>Adult</v>
      </c>
      <c r="M670" s="28">
        <f t="shared" si="72"/>
        <v>1</v>
      </c>
      <c r="N670" s="27" t="str">
        <f t="shared" si="73"/>
        <v>Alone</v>
      </c>
      <c r="O670" s="27" t="str">
        <f t="shared" si="74"/>
        <v>Low Fare</v>
      </c>
      <c r="P670" s="27" t="str">
        <f t="shared" si="75"/>
        <v>Third Class</v>
      </c>
      <c r="Q670" s="27">
        <f t="shared" si="76"/>
        <v>1</v>
      </c>
    </row>
    <row r="671" spans="1:17" x14ac:dyDescent="0.3">
      <c r="A671" s="16">
        <v>670</v>
      </c>
      <c r="B671" s="16">
        <v>1</v>
      </c>
      <c r="C671" s="16">
        <v>1</v>
      </c>
      <c r="D671" s="11" t="s">
        <v>1218</v>
      </c>
      <c r="E671" s="11" t="s">
        <v>14</v>
      </c>
      <c r="F671" s="25">
        <v>26</v>
      </c>
      <c r="G671" s="16">
        <v>1</v>
      </c>
      <c r="H671" s="16">
        <v>0</v>
      </c>
      <c r="I671" s="11" t="s">
        <v>1219</v>
      </c>
      <c r="J671" s="21">
        <v>52</v>
      </c>
      <c r="K671" s="27" t="str">
        <f t="shared" si="70"/>
        <v>Survived</v>
      </c>
      <c r="L671" s="27" t="str">
        <f t="shared" si="71"/>
        <v>Young Adult</v>
      </c>
      <c r="M671" s="28">
        <f t="shared" si="72"/>
        <v>2</v>
      </c>
      <c r="N671" s="27" t="str">
        <f t="shared" si="73"/>
        <v>Small Family</v>
      </c>
      <c r="O671" s="27" t="str">
        <f t="shared" si="74"/>
        <v>Medium Fare</v>
      </c>
      <c r="P671" s="27" t="str">
        <f t="shared" si="75"/>
        <v>First Class</v>
      </c>
      <c r="Q671" s="27">
        <f t="shared" si="76"/>
        <v>2</v>
      </c>
    </row>
    <row r="672" spans="1:17" x14ac:dyDescent="0.3">
      <c r="A672" s="15">
        <v>671</v>
      </c>
      <c r="B672" s="15">
        <v>1</v>
      </c>
      <c r="C672" s="15">
        <v>2</v>
      </c>
      <c r="D672" s="8" t="s">
        <v>1220</v>
      </c>
      <c r="E672" s="8" t="s">
        <v>14</v>
      </c>
      <c r="F672" s="24">
        <v>40</v>
      </c>
      <c r="G672" s="15">
        <v>1</v>
      </c>
      <c r="H672" s="15">
        <v>1</v>
      </c>
      <c r="I672" s="8" t="s">
        <v>1221</v>
      </c>
      <c r="J672" s="20">
        <v>39</v>
      </c>
      <c r="K672" s="27" t="str">
        <f t="shared" si="70"/>
        <v>Survived</v>
      </c>
      <c r="L672" s="27" t="str">
        <f t="shared" si="71"/>
        <v>Adult</v>
      </c>
      <c r="M672" s="28">
        <f t="shared" si="72"/>
        <v>3</v>
      </c>
      <c r="N672" s="27" t="str">
        <f t="shared" si="73"/>
        <v>Small Family</v>
      </c>
      <c r="O672" s="27" t="str">
        <f t="shared" si="74"/>
        <v>Medium Fare</v>
      </c>
      <c r="P672" s="27" t="str">
        <f t="shared" si="75"/>
        <v>Second Class</v>
      </c>
      <c r="Q672" s="27">
        <f t="shared" si="76"/>
        <v>2</v>
      </c>
    </row>
    <row r="673" spans="1:17" x14ac:dyDescent="0.3">
      <c r="A673" s="16">
        <v>672</v>
      </c>
      <c r="B673" s="16">
        <v>0</v>
      </c>
      <c r="C673" s="16">
        <v>1</v>
      </c>
      <c r="D673" s="11" t="s">
        <v>1222</v>
      </c>
      <c r="E673" s="11" t="s">
        <v>11</v>
      </c>
      <c r="F673" s="25">
        <v>31</v>
      </c>
      <c r="G673" s="16">
        <v>1</v>
      </c>
      <c r="H673" s="16">
        <v>0</v>
      </c>
      <c r="I673" s="11" t="s">
        <v>1223</v>
      </c>
      <c r="J673" s="21">
        <v>52</v>
      </c>
      <c r="K673" s="27" t="str">
        <f t="shared" si="70"/>
        <v>Died</v>
      </c>
      <c r="L673" s="27" t="str">
        <f t="shared" si="71"/>
        <v>Young Adult</v>
      </c>
      <c r="M673" s="28">
        <f t="shared" si="72"/>
        <v>2</v>
      </c>
      <c r="N673" s="27" t="str">
        <f t="shared" si="73"/>
        <v>Small Family</v>
      </c>
      <c r="O673" s="27" t="str">
        <f t="shared" si="74"/>
        <v>Medium Fare</v>
      </c>
      <c r="P673" s="27" t="str">
        <f t="shared" si="75"/>
        <v>First Class</v>
      </c>
      <c r="Q673" s="27">
        <f t="shared" si="76"/>
        <v>1</v>
      </c>
    </row>
    <row r="674" spans="1:17" x14ac:dyDescent="0.3">
      <c r="A674" s="15">
        <v>673</v>
      </c>
      <c r="B674" s="15">
        <v>0</v>
      </c>
      <c r="C674" s="15">
        <v>2</v>
      </c>
      <c r="D674" s="8" t="s">
        <v>1224</v>
      </c>
      <c r="E674" s="8" t="s">
        <v>11</v>
      </c>
      <c r="F674" s="24">
        <v>70</v>
      </c>
      <c r="G674" s="15">
        <v>0</v>
      </c>
      <c r="H674" s="15">
        <v>0</v>
      </c>
      <c r="I674" s="8" t="s">
        <v>1225</v>
      </c>
      <c r="J674" s="20">
        <v>10.5</v>
      </c>
      <c r="K674" s="27" t="str">
        <f t="shared" si="70"/>
        <v>Died</v>
      </c>
      <c r="L674" s="27" t="str">
        <f t="shared" si="71"/>
        <v>Senior</v>
      </c>
      <c r="M674" s="28">
        <f t="shared" si="72"/>
        <v>1</v>
      </c>
      <c r="N674" s="27" t="str">
        <f t="shared" si="73"/>
        <v>Alone</v>
      </c>
      <c r="O674" s="27" t="str">
        <f t="shared" si="74"/>
        <v>Low Fare</v>
      </c>
      <c r="P674" s="27" t="str">
        <f t="shared" si="75"/>
        <v>Second Class</v>
      </c>
      <c r="Q674" s="27">
        <f t="shared" si="76"/>
        <v>1</v>
      </c>
    </row>
    <row r="675" spans="1:17" x14ac:dyDescent="0.3">
      <c r="A675" s="16">
        <v>674</v>
      </c>
      <c r="B675" s="16">
        <v>1</v>
      </c>
      <c r="C675" s="16">
        <v>2</v>
      </c>
      <c r="D675" s="11" t="s">
        <v>1226</v>
      </c>
      <c r="E675" s="11" t="s">
        <v>11</v>
      </c>
      <c r="F675" s="25">
        <v>31</v>
      </c>
      <c r="G675" s="16">
        <v>0</v>
      </c>
      <c r="H675" s="16">
        <v>0</v>
      </c>
      <c r="I675" s="11" t="s">
        <v>1227</v>
      </c>
      <c r="J675" s="21">
        <v>13</v>
      </c>
      <c r="K675" s="27" t="str">
        <f t="shared" si="70"/>
        <v>Survived</v>
      </c>
      <c r="L675" s="27" t="str">
        <f t="shared" si="71"/>
        <v>Young Adult</v>
      </c>
      <c r="M675" s="28">
        <f t="shared" si="72"/>
        <v>1</v>
      </c>
      <c r="N675" s="27" t="str">
        <f t="shared" si="73"/>
        <v>Alone</v>
      </c>
      <c r="O675" s="27" t="str">
        <f t="shared" si="74"/>
        <v>Low Fare</v>
      </c>
      <c r="P675" s="27" t="str">
        <f t="shared" si="75"/>
        <v>Second Class</v>
      </c>
      <c r="Q675" s="27">
        <f t="shared" si="76"/>
        <v>1</v>
      </c>
    </row>
    <row r="676" spans="1:17" x14ac:dyDescent="0.3">
      <c r="A676" s="15">
        <v>675</v>
      </c>
      <c r="B676" s="15">
        <v>0</v>
      </c>
      <c r="C676" s="15">
        <v>2</v>
      </c>
      <c r="D676" s="8" t="s">
        <v>1228</v>
      </c>
      <c r="E676" s="8" t="s">
        <v>11</v>
      </c>
      <c r="F676" s="24">
        <v>26</v>
      </c>
      <c r="G676" s="15">
        <v>0</v>
      </c>
      <c r="H676" s="15">
        <v>0</v>
      </c>
      <c r="I676" s="8" t="s">
        <v>1229</v>
      </c>
      <c r="J676" s="20">
        <v>0</v>
      </c>
      <c r="K676" s="27" t="str">
        <f t="shared" si="70"/>
        <v>Died</v>
      </c>
      <c r="L676" s="27" t="str">
        <f t="shared" si="71"/>
        <v>Young Adult</v>
      </c>
      <c r="M676" s="28">
        <f t="shared" si="72"/>
        <v>1</v>
      </c>
      <c r="N676" s="27" t="str">
        <f t="shared" si="73"/>
        <v>Alone</v>
      </c>
      <c r="O676" s="27" t="str">
        <f t="shared" si="74"/>
        <v>Low Fare</v>
      </c>
      <c r="P676" s="27" t="str">
        <f t="shared" si="75"/>
        <v>Second Class</v>
      </c>
      <c r="Q676" s="27">
        <f t="shared" si="76"/>
        <v>1</v>
      </c>
    </row>
    <row r="677" spans="1:17" x14ac:dyDescent="0.3">
      <c r="A677" s="16">
        <v>676</v>
      </c>
      <c r="B677" s="16">
        <v>0</v>
      </c>
      <c r="C677" s="16">
        <v>3</v>
      </c>
      <c r="D677" s="11" t="s">
        <v>1230</v>
      </c>
      <c r="E677" s="11" t="s">
        <v>11</v>
      </c>
      <c r="F677" s="25">
        <v>18</v>
      </c>
      <c r="G677" s="16">
        <v>0</v>
      </c>
      <c r="H677" s="16">
        <v>0</v>
      </c>
      <c r="I677" s="11" t="s">
        <v>1231</v>
      </c>
      <c r="J677" s="21">
        <v>7.7750000000000004</v>
      </c>
      <c r="K677" s="27" t="str">
        <f t="shared" si="70"/>
        <v>Died</v>
      </c>
      <c r="L677" s="27" t="str">
        <f t="shared" si="71"/>
        <v>Young Adult</v>
      </c>
      <c r="M677" s="28">
        <f t="shared" si="72"/>
        <v>1</v>
      </c>
      <c r="N677" s="27" t="str">
        <f t="shared" si="73"/>
        <v>Alone</v>
      </c>
      <c r="O677" s="27" t="str">
        <f t="shared" si="74"/>
        <v>Low Fare</v>
      </c>
      <c r="P677" s="27" t="str">
        <f t="shared" si="75"/>
        <v>Third Class</v>
      </c>
      <c r="Q677" s="27">
        <f t="shared" si="76"/>
        <v>1</v>
      </c>
    </row>
    <row r="678" spans="1:17" x14ac:dyDescent="0.3">
      <c r="A678" s="15">
        <v>677</v>
      </c>
      <c r="B678" s="15">
        <v>0</v>
      </c>
      <c r="C678" s="15">
        <v>3</v>
      </c>
      <c r="D678" s="8" t="s">
        <v>1232</v>
      </c>
      <c r="E678" s="8" t="s">
        <v>11</v>
      </c>
      <c r="F678" s="24">
        <v>24.5</v>
      </c>
      <c r="G678" s="15">
        <v>0</v>
      </c>
      <c r="H678" s="15">
        <v>0</v>
      </c>
      <c r="I678" s="8" t="s">
        <v>1233</v>
      </c>
      <c r="J678" s="20">
        <v>8.0500000000000007</v>
      </c>
      <c r="K678" s="27" t="str">
        <f t="shared" si="70"/>
        <v>Died</v>
      </c>
      <c r="L678" s="27" t="str">
        <f t="shared" si="71"/>
        <v>Young Adult</v>
      </c>
      <c r="M678" s="28">
        <f t="shared" si="72"/>
        <v>1</v>
      </c>
      <c r="N678" s="27" t="str">
        <f t="shared" si="73"/>
        <v>Alone</v>
      </c>
      <c r="O678" s="27" t="str">
        <f t="shared" si="74"/>
        <v>Low Fare</v>
      </c>
      <c r="P678" s="27" t="str">
        <f t="shared" si="75"/>
        <v>Third Class</v>
      </c>
      <c r="Q678" s="27">
        <f t="shared" si="76"/>
        <v>1</v>
      </c>
    </row>
    <row r="679" spans="1:17" x14ac:dyDescent="0.3">
      <c r="A679" s="16">
        <v>678</v>
      </c>
      <c r="B679" s="16">
        <v>1</v>
      </c>
      <c r="C679" s="16">
        <v>3</v>
      </c>
      <c r="D679" s="11" t="s">
        <v>1234</v>
      </c>
      <c r="E679" s="11" t="s">
        <v>14</v>
      </c>
      <c r="F679" s="25">
        <v>18</v>
      </c>
      <c r="G679" s="16">
        <v>0</v>
      </c>
      <c r="H679" s="16">
        <v>0</v>
      </c>
      <c r="I679" s="11" t="s">
        <v>1235</v>
      </c>
      <c r="J679" s="21">
        <v>9.8416999999999994</v>
      </c>
      <c r="K679" s="27" t="str">
        <f t="shared" si="70"/>
        <v>Survived</v>
      </c>
      <c r="L679" s="27" t="str">
        <f t="shared" si="71"/>
        <v>Young Adult</v>
      </c>
      <c r="M679" s="28">
        <f t="shared" si="72"/>
        <v>1</v>
      </c>
      <c r="N679" s="27" t="str">
        <f t="shared" si="73"/>
        <v>Alone</v>
      </c>
      <c r="O679" s="27" t="str">
        <f t="shared" si="74"/>
        <v>Low Fare</v>
      </c>
      <c r="P679" s="27" t="str">
        <f t="shared" si="75"/>
        <v>Third Class</v>
      </c>
      <c r="Q679" s="27">
        <f t="shared" si="76"/>
        <v>2</v>
      </c>
    </row>
    <row r="680" spans="1:17" x14ac:dyDescent="0.3">
      <c r="A680" s="15">
        <v>679</v>
      </c>
      <c r="B680" s="15">
        <v>0</v>
      </c>
      <c r="C680" s="15">
        <v>3</v>
      </c>
      <c r="D680" s="8" t="s">
        <v>1236</v>
      </c>
      <c r="E680" s="8" t="s">
        <v>14</v>
      </c>
      <c r="F680" s="24">
        <v>43</v>
      </c>
      <c r="G680" s="15">
        <v>1</v>
      </c>
      <c r="H680" s="15">
        <v>6</v>
      </c>
      <c r="I680" s="8" t="s">
        <v>130</v>
      </c>
      <c r="J680" s="20">
        <v>46.9</v>
      </c>
      <c r="K680" s="27" t="str">
        <f t="shared" si="70"/>
        <v>Died</v>
      </c>
      <c r="L680" s="27" t="str">
        <f t="shared" si="71"/>
        <v>Adult</v>
      </c>
      <c r="M680" s="28">
        <f t="shared" si="72"/>
        <v>8</v>
      </c>
      <c r="N680" s="27" t="str">
        <f t="shared" si="73"/>
        <v>Large Family</v>
      </c>
      <c r="O680" s="27" t="str">
        <f t="shared" si="74"/>
        <v>Medium Fare</v>
      </c>
      <c r="P680" s="27" t="str">
        <f t="shared" si="75"/>
        <v>Third Class</v>
      </c>
      <c r="Q680" s="27">
        <f t="shared" si="76"/>
        <v>2</v>
      </c>
    </row>
    <row r="681" spans="1:17" x14ac:dyDescent="0.3">
      <c r="A681" s="16">
        <v>680</v>
      </c>
      <c r="B681" s="16">
        <v>1</v>
      </c>
      <c r="C681" s="16">
        <v>1</v>
      </c>
      <c r="D681" s="11" t="s">
        <v>1237</v>
      </c>
      <c r="E681" s="11" t="s">
        <v>11</v>
      </c>
      <c r="F681" s="25">
        <v>36</v>
      </c>
      <c r="G681" s="16">
        <v>0</v>
      </c>
      <c r="H681" s="16">
        <v>1</v>
      </c>
      <c r="I681" s="11" t="s">
        <v>502</v>
      </c>
      <c r="J681" s="21">
        <v>512.32920000000001</v>
      </c>
      <c r="K681" s="27" t="str">
        <f t="shared" si="70"/>
        <v>Survived</v>
      </c>
      <c r="L681" s="27" t="str">
        <f t="shared" si="71"/>
        <v>Adult</v>
      </c>
      <c r="M681" s="28">
        <f t="shared" si="72"/>
        <v>2</v>
      </c>
      <c r="N681" s="27" t="str">
        <f t="shared" si="73"/>
        <v>Small Family</v>
      </c>
      <c r="O681" s="27" t="str">
        <f t="shared" si="74"/>
        <v>High Fare</v>
      </c>
      <c r="P681" s="27" t="str">
        <f t="shared" si="75"/>
        <v>First Class</v>
      </c>
      <c r="Q681" s="27">
        <f t="shared" si="76"/>
        <v>1</v>
      </c>
    </row>
    <row r="682" spans="1:17" x14ac:dyDescent="0.3">
      <c r="A682" s="15">
        <v>681</v>
      </c>
      <c r="B682" s="15">
        <v>0</v>
      </c>
      <c r="C682" s="15">
        <v>3</v>
      </c>
      <c r="D682" s="8" t="s">
        <v>1238</v>
      </c>
      <c r="E682" s="8" t="s">
        <v>14</v>
      </c>
      <c r="F682" s="24">
        <v>26</v>
      </c>
      <c r="G682" s="15">
        <v>0</v>
      </c>
      <c r="H682" s="15">
        <v>0</v>
      </c>
      <c r="I682" s="8" t="s">
        <v>1239</v>
      </c>
      <c r="J682" s="20">
        <v>8.1374999999999993</v>
      </c>
      <c r="K682" s="27" t="str">
        <f t="shared" si="70"/>
        <v>Died</v>
      </c>
      <c r="L682" s="27" t="str">
        <f t="shared" si="71"/>
        <v>Young Adult</v>
      </c>
      <c r="M682" s="28">
        <f t="shared" si="72"/>
        <v>1</v>
      </c>
      <c r="N682" s="27" t="str">
        <f t="shared" si="73"/>
        <v>Alone</v>
      </c>
      <c r="O682" s="27" t="str">
        <f t="shared" si="74"/>
        <v>Low Fare</v>
      </c>
      <c r="P682" s="27" t="str">
        <f t="shared" si="75"/>
        <v>Third Class</v>
      </c>
      <c r="Q682" s="27">
        <f t="shared" si="76"/>
        <v>2</v>
      </c>
    </row>
    <row r="683" spans="1:17" x14ac:dyDescent="0.3">
      <c r="A683" s="16">
        <v>682</v>
      </c>
      <c r="B683" s="16">
        <v>1</v>
      </c>
      <c r="C683" s="16">
        <v>1</v>
      </c>
      <c r="D683" s="11" t="s">
        <v>1240</v>
      </c>
      <c r="E683" s="11" t="s">
        <v>11</v>
      </c>
      <c r="F683" s="25">
        <v>27</v>
      </c>
      <c r="G683" s="16">
        <v>0</v>
      </c>
      <c r="H683" s="16">
        <v>0</v>
      </c>
      <c r="I683" s="11" t="s">
        <v>116</v>
      </c>
      <c r="J683" s="21">
        <v>76.729200000000006</v>
      </c>
      <c r="K683" s="27" t="str">
        <f t="shared" si="70"/>
        <v>Survived</v>
      </c>
      <c r="L683" s="27" t="str">
        <f t="shared" si="71"/>
        <v>Young Adult</v>
      </c>
      <c r="M683" s="28">
        <f t="shared" si="72"/>
        <v>1</v>
      </c>
      <c r="N683" s="27" t="str">
        <f t="shared" si="73"/>
        <v>Alone</v>
      </c>
      <c r="O683" s="27" t="str">
        <f t="shared" si="74"/>
        <v>Medium Fare</v>
      </c>
      <c r="P683" s="27" t="str">
        <f t="shared" si="75"/>
        <v>First Class</v>
      </c>
      <c r="Q683" s="27">
        <f t="shared" si="76"/>
        <v>1</v>
      </c>
    </row>
    <row r="684" spans="1:17" x14ac:dyDescent="0.3">
      <c r="A684" s="15">
        <v>683</v>
      </c>
      <c r="B684" s="15">
        <v>0</v>
      </c>
      <c r="C684" s="15">
        <v>3</v>
      </c>
      <c r="D684" s="8" t="s">
        <v>1241</v>
      </c>
      <c r="E684" s="8" t="s">
        <v>11</v>
      </c>
      <c r="F684" s="24">
        <v>20</v>
      </c>
      <c r="G684" s="15">
        <v>0</v>
      </c>
      <c r="H684" s="15">
        <v>0</v>
      </c>
      <c r="I684" s="8" t="s">
        <v>1242</v>
      </c>
      <c r="J684" s="20">
        <v>9.2249999999999996</v>
      </c>
      <c r="K684" s="27" t="str">
        <f t="shared" si="70"/>
        <v>Died</v>
      </c>
      <c r="L684" s="27" t="str">
        <f t="shared" si="71"/>
        <v>Young Adult</v>
      </c>
      <c r="M684" s="28">
        <f t="shared" si="72"/>
        <v>1</v>
      </c>
      <c r="N684" s="27" t="str">
        <f t="shared" si="73"/>
        <v>Alone</v>
      </c>
      <c r="O684" s="27" t="str">
        <f t="shared" si="74"/>
        <v>Low Fare</v>
      </c>
      <c r="P684" s="27" t="str">
        <f t="shared" si="75"/>
        <v>Third Class</v>
      </c>
      <c r="Q684" s="27">
        <f t="shared" si="76"/>
        <v>1</v>
      </c>
    </row>
    <row r="685" spans="1:17" x14ac:dyDescent="0.3">
      <c r="A685" s="16">
        <v>684</v>
      </c>
      <c r="B685" s="16">
        <v>0</v>
      </c>
      <c r="C685" s="16">
        <v>3</v>
      </c>
      <c r="D685" s="11" t="s">
        <v>1243</v>
      </c>
      <c r="E685" s="11" t="s">
        <v>11</v>
      </c>
      <c r="F685" s="25">
        <v>14</v>
      </c>
      <c r="G685" s="16">
        <v>5</v>
      </c>
      <c r="H685" s="16">
        <v>2</v>
      </c>
      <c r="I685" s="11" t="s">
        <v>130</v>
      </c>
      <c r="J685" s="21">
        <v>46.9</v>
      </c>
      <c r="K685" s="27" t="str">
        <f t="shared" si="70"/>
        <v>Died</v>
      </c>
      <c r="L685" s="27" t="str">
        <f t="shared" si="71"/>
        <v>Child</v>
      </c>
      <c r="M685" s="28">
        <f t="shared" si="72"/>
        <v>8</v>
      </c>
      <c r="N685" s="27" t="str">
        <f t="shared" si="73"/>
        <v>Large Family</v>
      </c>
      <c r="O685" s="27" t="str">
        <f t="shared" si="74"/>
        <v>Medium Fare</v>
      </c>
      <c r="P685" s="27" t="str">
        <f t="shared" si="75"/>
        <v>Third Class</v>
      </c>
      <c r="Q685" s="27">
        <f t="shared" si="76"/>
        <v>1</v>
      </c>
    </row>
    <row r="686" spans="1:17" x14ac:dyDescent="0.3">
      <c r="A686" s="15">
        <v>685</v>
      </c>
      <c r="B686" s="15">
        <v>0</v>
      </c>
      <c r="C686" s="15">
        <v>2</v>
      </c>
      <c r="D686" s="8" t="s">
        <v>1244</v>
      </c>
      <c r="E686" s="8" t="s">
        <v>11</v>
      </c>
      <c r="F686" s="24">
        <v>60</v>
      </c>
      <c r="G686" s="15">
        <v>1</v>
      </c>
      <c r="H686" s="15">
        <v>1</v>
      </c>
      <c r="I686" s="8" t="s">
        <v>1221</v>
      </c>
      <c r="J686" s="20">
        <v>39</v>
      </c>
      <c r="K686" s="27" t="str">
        <f t="shared" si="70"/>
        <v>Died</v>
      </c>
      <c r="L686" s="27" t="str">
        <f t="shared" si="71"/>
        <v>Senior</v>
      </c>
      <c r="M686" s="28">
        <f t="shared" si="72"/>
        <v>3</v>
      </c>
      <c r="N686" s="27" t="str">
        <f t="shared" si="73"/>
        <v>Small Family</v>
      </c>
      <c r="O686" s="27" t="str">
        <f t="shared" si="74"/>
        <v>Medium Fare</v>
      </c>
      <c r="P686" s="27" t="str">
        <f t="shared" si="75"/>
        <v>Second Class</v>
      </c>
      <c r="Q686" s="27">
        <f t="shared" si="76"/>
        <v>1</v>
      </c>
    </row>
    <row r="687" spans="1:17" x14ac:dyDescent="0.3">
      <c r="A687" s="16">
        <v>686</v>
      </c>
      <c r="B687" s="16">
        <v>0</v>
      </c>
      <c r="C687" s="16">
        <v>2</v>
      </c>
      <c r="D687" s="11" t="s">
        <v>1245</v>
      </c>
      <c r="E687" s="11" t="s">
        <v>11</v>
      </c>
      <c r="F687" s="25">
        <v>25</v>
      </c>
      <c r="G687" s="16">
        <v>1</v>
      </c>
      <c r="H687" s="16">
        <v>2</v>
      </c>
      <c r="I687" s="11" t="s">
        <v>98</v>
      </c>
      <c r="J687" s="21">
        <v>41.5792</v>
      </c>
      <c r="K687" s="27" t="str">
        <f t="shared" si="70"/>
        <v>Died</v>
      </c>
      <c r="L687" s="27" t="str">
        <f t="shared" si="71"/>
        <v>Young Adult</v>
      </c>
      <c r="M687" s="28">
        <f t="shared" si="72"/>
        <v>4</v>
      </c>
      <c r="N687" s="27" t="str">
        <f t="shared" si="73"/>
        <v>Small Family</v>
      </c>
      <c r="O687" s="27" t="str">
        <f t="shared" si="74"/>
        <v>Medium Fare</v>
      </c>
      <c r="P687" s="27" t="str">
        <f t="shared" si="75"/>
        <v>Second Class</v>
      </c>
      <c r="Q687" s="27">
        <f t="shared" si="76"/>
        <v>1</v>
      </c>
    </row>
    <row r="688" spans="1:17" x14ac:dyDescent="0.3">
      <c r="A688" s="15">
        <v>687</v>
      </c>
      <c r="B688" s="15">
        <v>0</v>
      </c>
      <c r="C688" s="15">
        <v>3</v>
      </c>
      <c r="D688" s="8" t="s">
        <v>1246</v>
      </c>
      <c r="E688" s="8" t="s">
        <v>11</v>
      </c>
      <c r="F688" s="24">
        <v>14</v>
      </c>
      <c r="G688" s="15">
        <v>4</v>
      </c>
      <c r="H688" s="15">
        <v>1</v>
      </c>
      <c r="I688" s="8" t="s">
        <v>112</v>
      </c>
      <c r="J688" s="20">
        <v>39.6875</v>
      </c>
      <c r="K688" s="27" t="str">
        <f t="shared" si="70"/>
        <v>Died</v>
      </c>
      <c r="L688" s="27" t="str">
        <f t="shared" si="71"/>
        <v>Child</v>
      </c>
      <c r="M688" s="28">
        <f t="shared" si="72"/>
        <v>6</v>
      </c>
      <c r="N688" s="27" t="str">
        <f t="shared" si="73"/>
        <v>Large Family</v>
      </c>
      <c r="O688" s="27" t="str">
        <f t="shared" si="74"/>
        <v>Medium Fare</v>
      </c>
      <c r="P688" s="27" t="str">
        <f t="shared" si="75"/>
        <v>Third Class</v>
      </c>
      <c r="Q688" s="27">
        <f t="shared" si="76"/>
        <v>1</v>
      </c>
    </row>
    <row r="689" spans="1:17" x14ac:dyDescent="0.3">
      <c r="A689" s="16">
        <v>688</v>
      </c>
      <c r="B689" s="16">
        <v>0</v>
      </c>
      <c r="C689" s="16">
        <v>3</v>
      </c>
      <c r="D689" s="11" t="s">
        <v>1247</v>
      </c>
      <c r="E689" s="11" t="s">
        <v>11</v>
      </c>
      <c r="F689" s="25">
        <v>19</v>
      </c>
      <c r="G689" s="16">
        <v>0</v>
      </c>
      <c r="H689" s="16">
        <v>0</v>
      </c>
      <c r="I689" s="11" t="s">
        <v>1248</v>
      </c>
      <c r="J689" s="21">
        <v>10.1708</v>
      </c>
      <c r="K689" s="27" t="str">
        <f t="shared" si="70"/>
        <v>Died</v>
      </c>
      <c r="L689" s="27" t="str">
        <f t="shared" si="71"/>
        <v>Young Adult</v>
      </c>
      <c r="M689" s="28">
        <f t="shared" si="72"/>
        <v>1</v>
      </c>
      <c r="N689" s="27" t="str">
        <f t="shared" si="73"/>
        <v>Alone</v>
      </c>
      <c r="O689" s="27" t="str">
        <f t="shared" si="74"/>
        <v>Low Fare</v>
      </c>
      <c r="P689" s="27" t="str">
        <f t="shared" si="75"/>
        <v>Third Class</v>
      </c>
      <c r="Q689" s="27">
        <f t="shared" si="76"/>
        <v>1</v>
      </c>
    </row>
    <row r="690" spans="1:17" x14ac:dyDescent="0.3">
      <c r="A690" s="15">
        <v>689</v>
      </c>
      <c r="B690" s="15">
        <v>0</v>
      </c>
      <c r="C690" s="15">
        <v>3</v>
      </c>
      <c r="D690" s="8" t="s">
        <v>1249</v>
      </c>
      <c r="E690" s="8" t="s">
        <v>11</v>
      </c>
      <c r="F690" s="24">
        <v>18</v>
      </c>
      <c r="G690" s="15">
        <v>0</v>
      </c>
      <c r="H690" s="15">
        <v>0</v>
      </c>
      <c r="I690" s="8" t="s">
        <v>1250</v>
      </c>
      <c r="J690" s="20">
        <v>7.7957999999999998</v>
      </c>
      <c r="K690" s="27" t="str">
        <f t="shared" si="70"/>
        <v>Died</v>
      </c>
      <c r="L690" s="27" t="str">
        <f t="shared" si="71"/>
        <v>Young Adult</v>
      </c>
      <c r="M690" s="28">
        <f t="shared" si="72"/>
        <v>1</v>
      </c>
      <c r="N690" s="27" t="str">
        <f t="shared" si="73"/>
        <v>Alone</v>
      </c>
      <c r="O690" s="27" t="str">
        <f t="shared" si="74"/>
        <v>Low Fare</v>
      </c>
      <c r="P690" s="27" t="str">
        <f t="shared" si="75"/>
        <v>Third Class</v>
      </c>
      <c r="Q690" s="27">
        <f t="shared" si="76"/>
        <v>1</v>
      </c>
    </row>
    <row r="691" spans="1:17" x14ac:dyDescent="0.3">
      <c r="A691" s="16">
        <v>690</v>
      </c>
      <c r="B691" s="16">
        <v>1</v>
      </c>
      <c r="C691" s="16">
        <v>1</v>
      </c>
      <c r="D691" s="11" t="s">
        <v>1251</v>
      </c>
      <c r="E691" s="11" t="s">
        <v>14</v>
      </c>
      <c r="F691" s="25">
        <v>15</v>
      </c>
      <c r="G691" s="16">
        <v>0</v>
      </c>
      <c r="H691" s="16">
        <v>1</v>
      </c>
      <c r="I691" s="11" t="s">
        <v>1252</v>
      </c>
      <c r="J691" s="21">
        <v>211.33750000000001</v>
      </c>
      <c r="K691" s="27" t="str">
        <f t="shared" si="70"/>
        <v>Survived</v>
      </c>
      <c r="L691" s="27" t="str">
        <f t="shared" si="71"/>
        <v>Child</v>
      </c>
      <c r="M691" s="28">
        <f t="shared" si="72"/>
        <v>2</v>
      </c>
      <c r="N691" s="27" t="str">
        <f t="shared" si="73"/>
        <v>Small Family</v>
      </c>
      <c r="O691" s="27" t="str">
        <f t="shared" si="74"/>
        <v>High Fare</v>
      </c>
      <c r="P691" s="27" t="str">
        <f t="shared" si="75"/>
        <v>First Class</v>
      </c>
      <c r="Q691" s="27">
        <f t="shared" si="76"/>
        <v>2</v>
      </c>
    </row>
    <row r="692" spans="1:17" x14ac:dyDescent="0.3">
      <c r="A692" s="15">
        <v>691</v>
      </c>
      <c r="B692" s="15">
        <v>1</v>
      </c>
      <c r="C692" s="15">
        <v>1</v>
      </c>
      <c r="D692" s="8" t="s">
        <v>1253</v>
      </c>
      <c r="E692" s="8" t="s">
        <v>11</v>
      </c>
      <c r="F692" s="24">
        <v>31</v>
      </c>
      <c r="G692" s="15">
        <v>1</v>
      </c>
      <c r="H692" s="15">
        <v>0</v>
      </c>
      <c r="I692" s="8" t="s">
        <v>1254</v>
      </c>
      <c r="J692" s="20">
        <v>57</v>
      </c>
      <c r="K692" s="27" t="str">
        <f t="shared" si="70"/>
        <v>Survived</v>
      </c>
      <c r="L692" s="27" t="str">
        <f t="shared" si="71"/>
        <v>Young Adult</v>
      </c>
      <c r="M692" s="28">
        <f t="shared" si="72"/>
        <v>2</v>
      </c>
      <c r="N692" s="27" t="str">
        <f t="shared" si="73"/>
        <v>Small Family</v>
      </c>
      <c r="O692" s="27" t="str">
        <f t="shared" si="74"/>
        <v>Medium Fare</v>
      </c>
      <c r="P692" s="27" t="str">
        <f t="shared" si="75"/>
        <v>First Class</v>
      </c>
      <c r="Q692" s="27">
        <f t="shared" si="76"/>
        <v>1</v>
      </c>
    </row>
    <row r="693" spans="1:17" x14ac:dyDescent="0.3">
      <c r="A693" s="16">
        <v>692</v>
      </c>
      <c r="B693" s="16">
        <v>1</v>
      </c>
      <c r="C693" s="16">
        <v>3</v>
      </c>
      <c r="D693" s="11" t="s">
        <v>1255</v>
      </c>
      <c r="E693" s="11" t="s">
        <v>14</v>
      </c>
      <c r="F693" s="25">
        <v>4</v>
      </c>
      <c r="G693" s="16">
        <v>0</v>
      </c>
      <c r="H693" s="16">
        <v>1</v>
      </c>
      <c r="I693" s="11" t="s">
        <v>1256</v>
      </c>
      <c r="J693" s="21">
        <v>13.416700000000001</v>
      </c>
      <c r="K693" s="27" t="str">
        <f t="shared" si="70"/>
        <v>Survived</v>
      </c>
      <c r="L693" s="27" t="str">
        <f t="shared" si="71"/>
        <v>Child</v>
      </c>
      <c r="M693" s="28">
        <f t="shared" si="72"/>
        <v>2</v>
      </c>
      <c r="N693" s="27" t="str">
        <f t="shared" si="73"/>
        <v>Small Family</v>
      </c>
      <c r="O693" s="27" t="str">
        <f t="shared" si="74"/>
        <v>Low Fare</v>
      </c>
      <c r="P693" s="27" t="str">
        <f t="shared" si="75"/>
        <v>Third Class</v>
      </c>
      <c r="Q693" s="27">
        <f t="shared" si="76"/>
        <v>2</v>
      </c>
    </row>
    <row r="694" spans="1:17" x14ac:dyDescent="0.3">
      <c r="A694" s="15">
        <v>693</v>
      </c>
      <c r="B694" s="15">
        <v>1</v>
      </c>
      <c r="C694" s="15">
        <v>3</v>
      </c>
      <c r="D694" s="8" t="s">
        <v>1257</v>
      </c>
      <c r="E694" s="8" t="s">
        <v>11</v>
      </c>
      <c r="F694" s="24">
        <v>26</v>
      </c>
      <c r="G694" s="15">
        <v>0</v>
      </c>
      <c r="H694" s="15">
        <v>0</v>
      </c>
      <c r="I694" s="8" t="s">
        <v>159</v>
      </c>
      <c r="J694" s="20">
        <v>56.495800000000003</v>
      </c>
      <c r="K694" s="27" t="str">
        <f t="shared" si="70"/>
        <v>Survived</v>
      </c>
      <c r="L694" s="27" t="str">
        <f t="shared" si="71"/>
        <v>Young Adult</v>
      </c>
      <c r="M694" s="28">
        <f t="shared" si="72"/>
        <v>1</v>
      </c>
      <c r="N694" s="27" t="str">
        <f t="shared" si="73"/>
        <v>Alone</v>
      </c>
      <c r="O694" s="27" t="str">
        <f t="shared" si="74"/>
        <v>Medium Fare</v>
      </c>
      <c r="P694" s="27" t="str">
        <f t="shared" si="75"/>
        <v>Third Class</v>
      </c>
      <c r="Q694" s="27">
        <f t="shared" si="76"/>
        <v>1</v>
      </c>
    </row>
    <row r="695" spans="1:17" x14ac:dyDescent="0.3">
      <c r="A695" s="16">
        <v>694</v>
      </c>
      <c r="B695" s="16">
        <v>0</v>
      </c>
      <c r="C695" s="16">
        <v>3</v>
      </c>
      <c r="D695" s="11" t="s">
        <v>1258</v>
      </c>
      <c r="E695" s="11" t="s">
        <v>11</v>
      </c>
      <c r="F695" s="25">
        <v>25</v>
      </c>
      <c r="G695" s="16">
        <v>0</v>
      </c>
      <c r="H695" s="16">
        <v>0</v>
      </c>
      <c r="I695" s="11" t="s">
        <v>1259</v>
      </c>
      <c r="J695" s="21">
        <v>7.2249999999999996</v>
      </c>
      <c r="K695" s="27" t="str">
        <f t="shared" si="70"/>
        <v>Died</v>
      </c>
      <c r="L695" s="27" t="str">
        <f t="shared" si="71"/>
        <v>Young Adult</v>
      </c>
      <c r="M695" s="28">
        <f t="shared" si="72"/>
        <v>1</v>
      </c>
      <c r="N695" s="27" t="str">
        <f t="shared" si="73"/>
        <v>Alone</v>
      </c>
      <c r="O695" s="27" t="str">
        <f t="shared" si="74"/>
        <v>Low Fare</v>
      </c>
      <c r="P695" s="27" t="str">
        <f t="shared" si="75"/>
        <v>Third Class</v>
      </c>
      <c r="Q695" s="27">
        <f t="shared" si="76"/>
        <v>1</v>
      </c>
    </row>
    <row r="696" spans="1:17" x14ac:dyDescent="0.3">
      <c r="A696" s="15">
        <v>695</v>
      </c>
      <c r="B696" s="15">
        <v>0</v>
      </c>
      <c r="C696" s="15">
        <v>1</v>
      </c>
      <c r="D696" s="8" t="s">
        <v>1260</v>
      </c>
      <c r="E696" s="8" t="s">
        <v>11</v>
      </c>
      <c r="F696" s="24">
        <v>60</v>
      </c>
      <c r="G696" s="15">
        <v>0</v>
      </c>
      <c r="H696" s="15">
        <v>0</v>
      </c>
      <c r="I696" s="8" t="s">
        <v>1261</v>
      </c>
      <c r="J696" s="20">
        <v>26.55</v>
      </c>
      <c r="K696" s="27" t="str">
        <f t="shared" si="70"/>
        <v>Died</v>
      </c>
      <c r="L696" s="27" t="str">
        <f t="shared" si="71"/>
        <v>Senior</v>
      </c>
      <c r="M696" s="28">
        <f t="shared" si="72"/>
        <v>1</v>
      </c>
      <c r="N696" s="27" t="str">
        <f t="shared" si="73"/>
        <v>Alone</v>
      </c>
      <c r="O696" s="27" t="str">
        <f t="shared" si="74"/>
        <v>Medium Fare</v>
      </c>
      <c r="P696" s="27" t="str">
        <f t="shared" si="75"/>
        <v>First Class</v>
      </c>
      <c r="Q696" s="27">
        <f t="shared" si="76"/>
        <v>1</v>
      </c>
    </row>
    <row r="697" spans="1:17" x14ac:dyDescent="0.3">
      <c r="A697" s="16">
        <v>696</v>
      </c>
      <c r="B697" s="16">
        <v>0</v>
      </c>
      <c r="C697" s="16">
        <v>2</v>
      </c>
      <c r="D697" s="11" t="s">
        <v>1262</v>
      </c>
      <c r="E697" s="11" t="s">
        <v>11</v>
      </c>
      <c r="F697" s="25">
        <v>52</v>
      </c>
      <c r="G697" s="16">
        <v>0</v>
      </c>
      <c r="H697" s="16">
        <v>0</v>
      </c>
      <c r="I697" s="11" t="s">
        <v>1263</v>
      </c>
      <c r="J697" s="21">
        <v>13.5</v>
      </c>
      <c r="K697" s="27" t="str">
        <f t="shared" si="70"/>
        <v>Died</v>
      </c>
      <c r="L697" s="27" t="str">
        <f t="shared" si="71"/>
        <v>Adult</v>
      </c>
      <c r="M697" s="28">
        <f t="shared" si="72"/>
        <v>1</v>
      </c>
      <c r="N697" s="27" t="str">
        <f t="shared" si="73"/>
        <v>Alone</v>
      </c>
      <c r="O697" s="27" t="str">
        <f t="shared" si="74"/>
        <v>Low Fare</v>
      </c>
      <c r="P697" s="27" t="str">
        <f t="shared" si="75"/>
        <v>Second Class</v>
      </c>
      <c r="Q697" s="27">
        <f t="shared" si="76"/>
        <v>1</v>
      </c>
    </row>
    <row r="698" spans="1:17" x14ac:dyDescent="0.3">
      <c r="A698" s="15">
        <v>697</v>
      </c>
      <c r="B698" s="15">
        <v>0</v>
      </c>
      <c r="C698" s="15">
        <v>3</v>
      </c>
      <c r="D698" s="8" t="s">
        <v>1264</v>
      </c>
      <c r="E698" s="8" t="s">
        <v>11</v>
      </c>
      <c r="F698" s="24">
        <v>44</v>
      </c>
      <c r="G698" s="15">
        <v>0</v>
      </c>
      <c r="H698" s="15">
        <v>0</v>
      </c>
      <c r="I698" s="8" t="s">
        <v>1265</v>
      </c>
      <c r="J698" s="20">
        <v>8.0500000000000007</v>
      </c>
      <c r="K698" s="27" t="str">
        <f t="shared" si="70"/>
        <v>Died</v>
      </c>
      <c r="L698" s="27" t="str">
        <f t="shared" si="71"/>
        <v>Adult</v>
      </c>
      <c r="M698" s="28">
        <f t="shared" si="72"/>
        <v>1</v>
      </c>
      <c r="N698" s="27" t="str">
        <f t="shared" si="73"/>
        <v>Alone</v>
      </c>
      <c r="O698" s="27" t="str">
        <f t="shared" si="74"/>
        <v>Low Fare</v>
      </c>
      <c r="P698" s="27" t="str">
        <f t="shared" si="75"/>
        <v>Third Class</v>
      </c>
      <c r="Q698" s="27">
        <f t="shared" si="76"/>
        <v>1</v>
      </c>
    </row>
    <row r="699" spans="1:17" x14ac:dyDescent="0.3">
      <c r="A699" s="16">
        <v>698</v>
      </c>
      <c r="B699" s="16">
        <v>1</v>
      </c>
      <c r="C699" s="16">
        <v>3</v>
      </c>
      <c r="D699" s="11" t="s">
        <v>1266</v>
      </c>
      <c r="E699" s="11" t="s">
        <v>14</v>
      </c>
      <c r="F699" s="25">
        <v>26</v>
      </c>
      <c r="G699" s="16">
        <v>0</v>
      </c>
      <c r="H699" s="16">
        <v>0</v>
      </c>
      <c r="I699" s="11" t="s">
        <v>1267</v>
      </c>
      <c r="J699" s="21">
        <v>7.7332999999999998</v>
      </c>
      <c r="K699" s="27" t="str">
        <f t="shared" si="70"/>
        <v>Survived</v>
      </c>
      <c r="L699" s="27" t="str">
        <f t="shared" si="71"/>
        <v>Young Adult</v>
      </c>
      <c r="M699" s="28">
        <f t="shared" si="72"/>
        <v>1</v>
      </c>
      <c r="N699" s="27" t="str">
        <f t="shared" si="73"/>
        <v>Alone</v>
      </c>
      <c r="O699" s="27" t="str">
        <f t="shared" si="74"/>
        <v>Low Fare</v>
      </c>
      <c r="P699" s="27" t="str">
        <f t="shared" si="75"/>
        <v>Third Class</v>
      </c>
      <c r="Q699" s="27">
        <f t="shared" si="76"/>
        <v>2</v>
      </c>
    </row>
    <row r="700" spans="1:17" x14ac:dyDescent="0.3">
      <c r="A700" s="15">
        <v>699</v>
      </c>
      <c r="B700" s="15">
        <v>0</v>
      </c>
      <c r="C700" s="15">
        <v>1</v>
      </c>
      <c r="D700" s="8" t="s">
        <v>1268</v>
      </c>
      <c r="E700" s="8" t="s">
        <v>11</v>
      </c>
      <c r="F700" s="24">
        <v>49</v>
      </c>
      <c r="G700" s="15">
        <v>1</v>
      </c>
      <c r="H700" s="15">
        <v>1</v>
      </c>
      <c r="I700" s="8" t="s">
        <v>591</v>
      </c>
      <c r="J700" s="20">
        <v>110.88330000000001</v>
      </c>
      <c r="K700" s="27" t="str">
        <f t="shared" si="70"/>
        <v>Died</v>
      </c>
      <c r="L700" s="27" t="str">
        <f t="shared" si="71"/>
        <v>Adult</v>
      </c>
      <c r="M700" s="28">
        <f t="shared" si="72"/>
        <v>3</v>
      </c>
      <c r="N700" s="27" t="str">
        <f t="shared" si="73"/>
        <v>Small Family</v>
      </c>
      <c r="O700" s="27" t="str">
        <f t="shared" si="74"/>
        <v>High Fare</v>
      </c>
      <c r="P700" s="27" t="str">
        <f t="shared" si="75"/>
        <v>First Class</v>
      </c>
      <c r="Q700" s="27">
        <f t="shared" si="76"/>
        <v>1</v>
      </c>
    </row>
    <row r="701" spans="1:17" x14ac:dyDescent="0.3">
      <c r="A701" s="16">
        <v>700</v>
      </c>
      <c r="B701" s="16">
        <v>0</v>
      </c>
      <c r="C701" s="16">
        <v>3</v>
      </c>
      <c r="D701" s="11" t="s">
        <v>1269</v>
      </c>
      <c r="E701" s="11" t="s">
        <v>11</v>
      </c>
      <c r="F701" s="25">
        <v>42</v>
      </c>
      <c r="G701" s="16">
        <v>0</v>
      </c>
      <c r="H701" s="16">
        <v>0</v>
      </c>
      <c r="I701" s="11" t="s">
        <v>1270</v>
      </c>
      <c r="J701" s="21">
        <v>7.65</v>
      </c>
      <c r="K701" s="27" t="str">
        <f t="shared" si="70"/>
        <v>Died</v>
      </c>
      <c r="L701" s="27" t="str">
        <f t="shared" si="71"/>
        <v>Adult</v>
      </c>
      <c r="M701" s="28">
        <f t="shared" si="72"/>
        <v>1</v>
      </c>
      <c r="N701" s="27" t="str">
        <f t="shared" si="73"/>
        <v>Alone</v>
      </c>
      <c r="O701" s="27" t="str">
        <f t="shared" si="74"/>
        <v>Low Fare</v>
      </c>
      <c r="P701" s="27" t="str">
        <f t="shared" si="75"/>
        <v>Third Class</v>
      </c>
      <c r="Q701" s="27">
        <f t="shared" si="76"/>
        <v>1</v>
      </c>
    </row>
    <row r="702" spans="1:17" x14ac:dyDescent="0.3">
      <c r="A702" s="15">
        <v>701</v>
      </c>
      <c r="B702" s="15">
        <v>1</v>
      </c>
      <c r="C702" s="15">
        <v>1</v>
      </c>
      <c r="D702" s="8" t="s">
        <v>1271</v>
      </c>
      <c r="E702" s="8" t="s">
        <v>14</v>
      </c>
      <c r="F702" s="24">
        <v>18</v>
      </c>
      <c r="G702" s="15">
        <v>1</v>
      </c>
      <c r="H702" s="15">
        <v>0</v>
      </c>
      <c r="I702" s="8" t="s">
        <v>720</v>
      </c>
      <c r="J702" s="20">
        <v>227.52500000000001</v>
      </c>
      <c r="K702" s="27" t="str">
        <f t="shared" si="70"/>
        <v>Survived</v>
      </c>
      <c r="L702" s="27" t="str">
        <f t="shared" si="71"/>
        <v>Young Adult</v>
      </c>
      <c r="M702" s="28">
        <f t="shared" si="72"/>
        <v>2</v>
      </c>
      <c r="N702" s="27" t="str">
        <f t="shared" si="73"/>
        <v>Small Family</v>
      </c>
      <c r="O702" s="27" t="str">
        <f t="shared" si="74"/>
        <v>High Fare</v>
      </c>
      <c r="P702" s="27" t="str">
        <f t="shared" si="75"/>
        <v>First Class</v>
      </c>
      <c r="Q702" s="27">
        <f t="shared" si="76"/>
        <v>2</v>
      </c>
    </row>
    <row r="703" spans="1:17" x14ac:dyDescent="0.3">
      <c r="A703" s="16">
        <v>702</v>
      </c>
      <c r="B703" s="16">
        <v>1</v>
      </c>
      <c r="C703" s="16">
        <v>1</v>
      </c>
      <c r="D703" s="11" t="s">
        <v>1272</v>
      </c>
      <c r="E703" s="11" t="s">
        <v>11</v>
      </c>
      <c r="F703" s="25">
        <v>35</v>
      </c>
      <c r="G703" s="16">
        <v>0</v>
      </c>
      <c r="H703" s="16">
        <v>0</v>
      </c>
      <c r="I703" s="11" t="s">
        <v>1273</v>
      </c>
      <c r="J703" s="21">
        <v>26.287500000000001</v>
      </c>
      <c r="K703" s="27" t="str">
        <f t="shared" si="70"/>
        <v>Survived</v>
      </c>
      <c r="L703" s="27" t="str">
        <f t="shared" si="71"/>
        <v>Adult</v>
      </c>
      <c r="M703" s="28">
        <f t="shared" si="72"/>
        <v>1</v>
      </c>
      <c r="N703" s="27" t="str">
        <f t="shared" si="73"/>
        <v>Alone</v>
      </c>
      <c r="O703" s="27" t="str">
        <f t="shared" si="74"/>
        <v>Medium Fare</v>
      </c>
      <c r="P703" s="27" t="str">
        <f t="shared" si="75"/>
        <v>First Class</v>
      </c>
      <c r="Q703" s="27">
        <f t="shared" si="76"/>
        <v>1</v>
      </c>
    </row>
    <row r="704" spans="1:17" x14ac:dyDescent="0.3">
      <c r="A704" s="15">
        <v>703</v>
      </c>
      <c r="B704" s="15">
        <v>0</v>
      </c>
      <c r="C704" s="15">
        <v>3</v>
      </c>
      <c r="D704" s="8" t="s">
        <v>1274</v>
      </c>
      <c r="E704" s="8" t="s">
        <v>14</v>
      </c>
      <c r="F704" s="24">
        <v>18</v>
      </c>
      <c r="G704" s="15">
        <v>0</v>
      </c>
      <c r="H704" s="15">
        <v>1</v>
      </c>
      <c r="I704" s="8" t="s">
        <v>688</v>
      </c>
      <c r="J704" s="20">
        <v>14.4542</v>
      </c>
      <c r="K704" s="27" t="str">
        <f t="shared" si="70"/>
        <v>Died</v>
      </c>
      <c r="L704" s="27" t="str">
        <f t="shared" si="71"/>
        <v>Young Adult</v>
      </c>
      <c r="M704" s="28">
        <f t="shared" si="72"/>
        <v>2</v>
      </c>
      <c r="N704" s="27" t="str">
        <f t="shared" si="73"/>
        <v>Small Family</v>
      </c>
      <c r="O704" s="27" t="str">
        <f t="shared" si="74"/>
        <v>Low Fare</v>
      </c>
      <c r="P704" s="27" t="str">
        <f t="shared" si="75"/>
        <v>Third Class</v>
      </c>
      <c r="Q704" s="27">
        <f t="shared" si="76"/>
        <v>2</v>
      </c>
    </row>
    <row r="705" spans="1:17" x14ac:dyDescent="0.3">
      <c r="A705" s="16">
        <v>704</v>
      </c>
      <c r="B705" s="16">
        <v>0</v>
      </c>
      <c r="C705" s="16">
        <v>3</v>
      </c>
      <c r="D705" s="11" t="s">
        <v>1275</v>
      </c>
      <c r="E705" s="11" t="s">
        <v>11</v>
      </c>
      <c r="F705" s="25">
        <v>25</v>
      </c>
      <c r="G705" s="16">
        <v>0</v>
      </c>
      <c r="H705" s="16">
        <v>0</v>
      </c>
      <c r="I705" s="11" t="s">
        <v>1276</v>
      </c>
      <c r="J705" s="21">
        <v>7.7416999999999998</v>
      </c>
      <c r="K705" s="27" t="str">
        <f t="shared" si="70"/>
        <v>Died</v>
      </c>
      <c r="L705" s="27" t="str">
        <f t="shared" si="71"/>
        <v>Young Adult</v>
      </c>
      <c r="M705" s="28">
        <f t="shared" si="72"/>
        <v>1</v>
      </c>
      <c r="N705" s="27" t="str">
        <f t="shared" si="73"/>
        <v>Alone</v>
      </c>
      <c r="O705" s="27" t="str">
        <f t="shared" si="74"/>
        <v>Low Fare</v>
      </c>
      <c r="P705" s="27" t="str">
        <f t="shared" si="75"/>
        <v>Third Class</v>
      </c>
      <c r="Q705" s="27">
        <f t="shared" si="76"/>
        <v>1</v>
      </c>
    </row>
    <row r="706" spans="1:17" x14ac:dyDescent="0.3">
      <c r="A706" s="15">
        <v>705</v>
      </c>
      <c r="B706" s="15">
        <v>0</v>
      </c>
      <c r="C706" s="15">
        <v>3</v>
      </c>
      <c r="D706" s="8" t="s">
        <v>1277</v>
      </c>
      <c r="E706" s="8" t="s">
        <v>11</v>
      </c>
      <c r="F706" s="24">
        <v>26</v>
      </c>
      <c r="G706" s="15">
        <v>1</v>
      </c>
      <c r="H706" s="15">
        <v>0</v>
      </c>
      <c r="I706" s="8" t="s">
        <v>1278</v>
      </c>
      <c r="J706" s="20">
        <v>7.8541999999999996</v>
      </c>
      <c r="K706" s="27" t="str">
        <f t="shared" ref="K706:K769" si="77">IF(B706=1, "Survived", "Died")</f>
        <v>Died</v>
      </c>
      <c r="L706" s="27" t="str">
        <f t="shared" ref="L706:L769" si="78">IF(F706&lt;18, "Child", IF(F706&lt;35, "Young Adult", IF(F706&lt;60, "Adult", "Senior")))</f>
        <v>Young Adult</v>
      </c>
      <c r="M706" s="28">
        <f t="shared" ref="M706:M769" si="79">G706+H706+1</f>
        <v>2</v>
      </c>
      <c r="N706" s="27" t="str">
        <f t="shared" ref="N706:N769" si="80">IF(M706=1,"Alone",IF(M706&lt;=4,"Small Family","Large Family"))</f>
        <v>Small Family</v>
      </c>
      <c r="O706" s="27" t="str">
        <f t="shared" ref="O706:O769" si="81">IF(J706&lt;25, "Low Fare", IF(J706&lt;=100, "Medium Fare", "High Fare"))</f>
        <v>Low Fare</v>
      </c>
      <c r="P706" s="27" t="str">
        <f t="shared" ref="P706:P769" si="82">IF(C706=1, "First Class", IF(C706=2, "Second Class", "Third Class"))</f>
        <v>Third Class</v>
      </c>
      <c r="Q706" s="27">
        <f t="shared" ref="Q706:Q769" si="83">IF(E706="male", 1, 2)</f>
        <v>1</v>
      </c>
    </row>
    <row r="707" spans="1:17" x14ac:dyDescent="0.3">
      <c r="A707" s="16">
        <v>706</v>
      </c>
      <c r="B707" s="16">
        <v>0</v>
      </c>
      <c r="C707" s="16">
        <v>2</v>
      </c>
      <c r="D707" s="11" t="s">
        <v>1279</v>
      </c>
      <c r="E707" s="11" t="s">
        <v>11</v>
      </c>
      <c r="F707" s="25">
        <v>39</v>
      </c>
      <c r="G707" s="16">
        <v>0</v>
      </c>
      <c r="H707" s="16">
        <v>0</v>
      </c>
      <c r="I707" s="11" t="s">
        <v>804</v>
      </c>
      <c r="J707" s="21">
        <v>26</v>
      </c>
      <c r="K707" s="27" t="str">
        <f t="shared" si="77"/>
        <v>Died</v>
      </c>
      <c r="L707" s="27" t="str">
        <f t="shared" si="78"/>
        <v>Adult</v>
      </c>
      <c r="M707" s="28">
        <f t="shared" si="79"/>
        <v>1</v>
      </c>
      <c r="N707" s="27" t="str">
        <f t="shared" si="80"/>
        <v>Alone</v>
      </c>
      <c r="O707" s="27" t="str">
        <f t="shared" si="81"/>
        <v>Medium Fare</v>
      </c>
      <c r="P707" s="27" t="str">
        <f t="shared" si="82"/>
        <v>Second Class</v>
      </c>
      <c r="Q707" s="27">
        <f t="shared" si="83"/>
        <v>1</v>
      </c>
    </row>
    <row r="708" spans="1:17" x14ac:dyDescent="0.3">
      <c r="A708" s="15">
        <v>707</v>
      </c>
      <c r="B708" s="15">
        <v>1</v>
      </c>
      <c r="C708" s="15">
        <v>2</v>
      </c>
      <c r="D708" s="8" t="s">
        <v>1280</v>
      </c>
      <c r="E708" s="8" t="s">
        <v>14</v>
      </c>
      <c r="F708" s="24">
        <v>45</v>
      </c>
      <c r="G708" s="15">
        <v>0</v>
      </c>
      <c r="H708" s="15">
        <v>0</v>
      </c>
      <c r="I708" s="8" t="s">
        <v>1281</v>
      </c>
      <c r="J708" s="20">
        <v>13.5</v>
      </c>
      <c r="K708" s="27" t="str">
        <f t="shared" si="77"/>
        <v>Survived</v>
      </c>
      <c r="L708" s="27" t="str">
        <f t="shared" si="78"/>
        <v>Adult</v>
      </c>
      <c r="M708" s="28">
        <f t="shared" si="79"/>
        <v>1</v>
      </c>
      <c r="N708" s="27" t="str">
        <f t="shared" si="80"/>
        <v>Alone</v>
      </c>
      <c r="O708" s="27" t="str">
        <f t="shared" si="81"/>
        <v>Low Fare</v>
      </c>
      <c r="P708" s="27" t="str">
        <f t="shared" si="82"/>
        <v>Second Class</v>
      </c>
      <c r="Q708" s="27">
        <f t="shared" si="83"/>
        <v>2</v>
      </c>
    </row>
    <row r="709" spans="1:17" x14ac:dyDescent="0.3">
      <c r="A709" s="16">
        <v>708</v>
      </c>
      <c r="B709" s="16">
        <v>1</v>
      </c>
      <c r="C709" s="16">
        <v>1</v>
      </c>
      <c r="D709" s="11" t="s">
        <v>1282</v>
      </c>
      <c r="E709" s="11" t="s">
        <v>11</v>
      </c>
      <c r="F709" s="25">
        <v>42</v>
      </c>
      <c r="G709" s="16">
        <v>0</v>
      </c>
      <c r="H709" s="16">
        <v>0</v>
      </c>
      <c r="I709" s="11" t="s">
        <v>1283</v>
      </c>
      <c r="J709" s="21">
        <v>26.287500000000001</v>
      </c>
      <c r="K709" s="27" t="str">
        <f t="shared" si="77"/>
        <v>Survived</v>
      </c>
      <c r="L709" s="27" t="str">
        <f t="shared" si="78"/>
        <v>Adult</v>
      </c>
      <c r="M709" s="28">
        <f t="shared" si="79"/>
        <v>1</v>
      </c>
      <c r="N709" s="27" t="str">
        <f t="shared" si="80"/>
        <v>Alone</v>
      </c>
      <c r="O709" s="27" t="str">
        <f t="shared" si="81"/>
        <v>Medium Fare</v>
      </c>
      <c r="P709" s="27" t="str">
        <f t="shared" si="82"/>
        <v>First Class</v>
      </c>
      <c r="Q709" s="27">
        <f t="shared" si="83"/>
        <v>1</v>
      </c>
    </row>
    <row r="710" spans="1:17" x14ac:dyDescent="0.3">
      <c r="A710" s="15">
        <v>709</v>
      </c>
      <c r="B710" s="15">
        <v>1</v>
      </c>
      <c r="C710" s="15">
        <v>1</v>
      </c>
      <c r="D710" s="8" t="s">
        <v>1284</v>
      </c>
      <c r="E710" s="8" t="s">
        <v>14</v>
      </c>
      <c r="F710" s="24">
        <v>22</v>
      </c>
      <c r="G710" s="15">
        <v>0</v>
      </c>
      <c r="H710" s="15">
        <v>0</v>
      </c>
      <c r="I710" s="8" t="s">
        <v>576</v>
      </c>
      <c r="J710" s="20">
        <v>151.55000000000001</v>
      </c>
      <c r="K710" s="27" t="str">
        <f t="shared" si="77"/>
        <v>Survived</v>
      </c>
      <c r="L710" s="27" t="str">
        <f t="shared" si="78"/>
        <v>Young Adult</v>
      </c>
      <c r="M710" s="28">
        <f t="shared" si="79"/>
        <v>1</v>
      </c>
      <c r="N710" s="27" t="str">
        <f t="shared" si="80"/>
        <v>Alone</v>
      </c>
      <c r="O710" s="27" t="str">
        <f t="shared" si="81"/>
        <v>High Fare</v>
      </c>
      <c r="P710" s="27" t="str">
        <f t="shared" si="82"/>
        <v>First Class</v>
      </c>
      <c r="Q710" s="27">
        <f t="shared" si="83"/>
        <v>2</v>
      </c>
    </row>
    <row r="711" spans="1:17" x14ac:dyDescent="0.3">
      <c r="A711" s="16">
        <v>710</v>
      </c>
      <c r="B711" s="16">
        <v>1</v>
      </c>
      <c r="C711" s="16">
        <v>3</v>
      </c>
      <c r="D711" s="11" t="s">
        <v>1285</v>
      </c>
      <c r="E711" s="11" t="s">
        <v>11</v>
      </c>
      <c r="F711" s="25">
        <v>26</v>
      </c>
      <c r="G711" s="16">
        <v>1</v>
      </c>
      <c r="H711" s="16">
        <v>1</v>
      </c>
      <c r="I711" s="11" t="s">
        <v>142</v>
      </c>
      <c r="J711" s="21">
        <v>15.245799999999999</v>
      </c>
      <c r="K711" s="27" t="str">
        <f t="shared" si="77"/>
        <v>Survived</v>
      </c>
      <c r="L711" s="27" t="str">
        <f t="shared" si="78"/>
        <v>Young Adult</v>
      </c>
      <c r="M711" s="28">
        <f t="shared" si="79"/>
        <v>3</v>
      </c>
      <c r="N711" s="27" t="str">
        <f t="shared" si="80"/>
        <v>Small Family</v>
      </c>
      <c r="O711" s="27" t="str">
        <f t="shared" si="81"/>
        <v>Low Fare</v>
      </c>
      <c r="P711" s="27" t="str">
        <f t="shared" si="82"/>
        <v>Third Class</v>
      </c>
      <c r="Q711" s="27">
        <f t="shared" si="83"/>
        <v>1</v>
      </c>
    </row>
    <row r="712" spans="1:17" x14ac:dyDescent="0.3">
      <c r="A712" s="15">
        <v>711</v>
      </c>
      <c r="B712" s="15">
        <v>1</v>
      </c>
      <c r="C712" s="15">
        <v>1</v>
      </c>
      <c r="D712" s="8" t="s">
        <v>1286</v>
      </c>
      <c r="E712" s="8" t="s">
        <v>14</v>
      </c>
      <c r="F712" s="24">
        <v>24</v>
      </c>
      <c r="G712" s="15">
        <v>0</v>
      </c>
      <c r="H712" s="15">
        <v>0</v>
      </c>
      <c r="I712" s="8" t="s">
        <v>1287</v>
      </c>
      <c r="J712" s="20">
        <v>49.504199999999997</v>
      </c>
      <c r="K712" s="27" t="str">
        <f t="shared" si="77"/>
        <v>Survived</v>
      </c>
      <c r="L712" s="27" t="str">
        <f t="shared" si="78"/>
        <v>Young Adult</v>
      </c>
      <c r="M712" s="28">
        <f t="shared" si="79"/>
        <v>1</v>
      </c>
      <c r="N712" s="27" t="str">
        <f t="shared" si="80"/>
        <v>Alone</v>
      </c>
      <c r="O712" s="27" t="str">
        <f t="shared" si="81"/>
        <v>Medium Fare</v>
      </c>
      <c r="P712" s="27" t="str">
        <f t="shared" si="82"/>
        <v>First Class</v>
      </c>
      <c r="Q712" s="27">
        <f t="shared" si="83"/>
        <v>2</v>
      </c>
    </row>
    <row r="713" spans="1:17" x14ac:dyDescent="0.3">
      <c r="A713" s="16">
        <v>712</v>
      </c>
      <c r="B713" s="16">
        <v>0</v>
      </c>
      <c r="C713" s="16">
        <v>1</v>
      </c>
      <c r="D713" s="11" t="s">
        <v>1288</v>
      </c>
      <c r="E713" s="11" t="s">
        <v>11</v>
      </c>
      <c r="F713" s="25">
        <v>26</v>
      </c>
      <c r="G713" s="16">
        <v>0</v>
      </c>
      <c r="H713" s="16">
        <v>0</v>
      </c>
      <c r="I713" s="11" t="s">
        <v>1289</v>
      </c>
      <c r="J713" s="21">
        <v>26.55</v>
      </c>
      <c r="K713" s="27" t="str">
        <f t="shared" si="77"/>
        <v>Died</v>
      </c>
      <c r="L713" s="27" t="str">
        <f t="shared" si="78"/>
        <v>Young Adult</v>
      </c>
      <c r="M713" s="28">
        <f t="shared" si="79"/>
        <v>1</v>
      </c>
      <c r="N713" s="27" t="str">
        <f t="shared" si="80"/>
        <v>Alone</v>
      </c>
      <c r="O713" s="27" t="str">
        <f t="shared" si="81"/>
        <v>Medium Fare</v>
      </c>
      <c r="P713" s="27" t="str">
        <f t="shared" si="82"/>
        <v>First Class</v>
      </c>
      <c r="Q713" s="27">
        <f t="shared" si="83"/>
        <v>1</v>
      </c>
    </row>
    <row r="714" spans="1:17" x14ac:dyDescent="0.3">
      <c r="A714" s="15">
        <v>713</v>
      </c>
      <c r="B714" s="15">
        <v>1</v>
      </c>
      <c r="C714" s="15">
        <v>1</v>
      </c>
      <c r="D714" s="8" t="s">
        <v>1290</v>
      </c>
      <c r="E714" s="8" t="s">
        <v>11</v>
      </c>
      <c r="F714" s="24">
        <v>48</v>
      </c>
      <c r="G714" s="15">
        <v>1</v>
      </c>
      <c r="H714" s="15">
        <v>0</v>
      </c>
      <c r="I714" s="8" t="s">
        <v>1219</v>
      </c>
      <c r="J714" s="20">
        <v>52</v>
      </c>
      <c r="K714" s="27" t="str">
        <f t="shared" si="77"/>
        <v>Survived</v>
      </c>
      <c r="L714" s="27" t="str">
        <f t="shared" si="78"/>
        <v>Adult</v>
      </c>
      <c r="M714" s="28">
        <f t="shared" si="79"/>
        <v>2</v>
      </c>
      <c r="N714" s="27" t="str">
        <f t="shared" si="80"/>
        <v>Small Family</v>
      </c>
      <c r="O714" s="27" t="str">
        <f t="shared" si="81"/>
        <v>Medium Fare</v>
      </c>
      <c r="P714" s="27" t="str">
        <f t="shared" si="82"/>
        <v>First Class</v>
      </c>
      <c r="Q714" s="27">
        <f t="shared" si="83"/>
        <v>1</v>
      </c>
    </row>
    <row r="715" spans="1:17" x14ac:dyDescent="0.3">
      <c r="A715" s="16">
        <v>714</v>
      </c>
      <c r="B715" s="16">
        <v>0</v>
      </c>
      <c r="C715" s="16">
        <v>3</v>
      </c>
      <c r="D715" s="11" t="s">
        <v>1291</v>
      </c>
      <c r="E715" s="11" t="s">
        <v>11</v>
      </c>
      <c r="F715" s="25">
        <v>29</v>
      </c>
      <c r="G715" s="16">
        <v>0</v>
      </c>
      <c r="H715" s="16">
        <v>0</v>
      </c>
      <c r="I715" s="11" t="s">
        <v>1292</v>
      </c>
      <c r="J715" s="21">
        <v>9.4832999999999998</v>
      </c>
      <c r="K715" s="27" t="str">
        <f t="shared" si="77"/>
        <v>Died</v>
      </c>
      <c r="L715" s="27" t="str">
        <f t="shared" si="78"/>
        <v>Young Adult</v>
      </c>
      <c r="M715" s="28">
        <f t="shared" si="79"/>
        <v>1</v>
      </c>
      <c r="N715" s="27" t="str">
        <f t="shared" si="80"/>
        <v>Alone</v>
      </c>
      <c r="O715" s="27" t="str">
        <f t="shared" si="81"/>
        <v>Low Fare</v>
      </c>
      <c r="P715" s="27" t="str">
        <f t="shared" si="82"/>
        <v>Third Class</v>
      </c>
      <c r="Q715" s="27">
        <f t="shared" si="83"/>
        <v>1</v>
      </c>
    </row>
    <row r="716" spans="1:17" x14ac:dyDescent="0.3">
      <c r="A716" s="15">
        <v>715</v>
      </c>
      <c r="B716" s="15">
        <v>0</v>
      </c>
      <c r="C716" s="15">
        <v>2</v>
      </c>
      <c r="D716" s="8" t="s">
        <v>1293</v>
      </c>
      <c r="E716" s="8" t="s">
        <v>11</v>
      </c>
      <c r="F716" s="24">
        <v>52</v>
      </c>
      <c r="G716" s="15">
        <v>0</v>
      </c>
      <c r="H716" s="15">
        <v>0</v>
      </c>
      <c r="I716" s="8" t="s">
        <v>1294</v>
      </c>
      <c r="J716" s="20">
        <v>13</v>
      </c>
      <c r="K716" s="27" t="str">
        <f t="shared" si="77"/>
        <v>Died</v>
      </c>
      <c r="L716" s="27" t="str">
        <f t="shared" si="78"/>
        <v>Adult</v>
      </c>
      <c r="M716" s="28">
        <f t="shared" si="79"/>
        <v>1</v>
      </c>
      <c r="N716" s="27" t="str">
        <f t="shared" si="80"/>
        <v>Alone</v>
      </c>
      <c r="O716" s="27" t="str">
        <f t="shared" si="81"/>
        <v>Low Fare</v>
      </c>
      <c r="P716" s="27" t="str">
        <f t="shared" si="82"/>
        <v>Second Class</v>
      </c>
      <c r="Q716" s="27">
        <f t="shared" si="83"/>
        <v>1</v>
      </c>
    </row>
    <row r="717" spans="1:17" x14ac:dyDescent="0.3">
      <c r="A717" s="16">
        <v>716</v>
      </c>
      <c r="B717" s="16">
        <v>0</v>
      </c>
      <c r="C717" s="16">
        <v>3</v>
      </c>
      <c r="D717" s="11" t="s">
        <v>1295</v>
      </c>
      <c r="E717" s="11" t="s">
        <v>11</v>
      </c>
      <c r="F717" s="25">
        <v>19</v>
      </c>
      <c r="G717" s="16">
        <v>0</v>
      </c>
      <c r="H717" s="16">
        <v>0</v>
      </c>
      <c r="I717" s="11" t="s">
        <v>1296</v>
      </c>
      <c r="J717" s="21">
        <v>7.65</v>
      </c>
      <c r="K717" s="27" t="str">
        <f t="shared" si="77"/>
        <v>Died</v>
      </c>
      <c r="L717" s="27" t="str">
        <f t="shared" si="78"/>
        <v>Young Adult</v>
      </c>
      <c r="M717" s="28">
        <f t="shared" si="79"/>
        <v>1</v>
      </c>
      <c r="N717" s="27" t="str">
        <f t="shared" si="80"/>
        <v>Alone</v>
      </c>
      <c r="O717" s="27" t="str">
        <f t="shared" si="81"/>
        <v>Low Fare</v>
      </c>
      <c r="P717" s="27" t="str">
        <f t="shared" si="82"/>
        <v>Third Class</v>
      </c>
      <c r="Q717" s="27">
        <f t="shared" si="83"/>
        <v>1</v>
      </c>
    </row>
    <row r="718" spans="1:17" x14ac:dyDescent="0.3">
      <c r="A718" s="15">
        <v>717</v>
      </c>
      <c r="B718" s="15">
        <v>1</v>
      </c>
      <c r="C718" s="15">
        <v>1</v>
      </c>
      <c r="D718" s="8" t="s">
        <v>1297</v>
      </c>
      <c r="E718" s="8" t="s">
        <v>14</v>
      </c>
      <c r="F718" s="24">
        <v>38</v>
      </c>
      <c r="G718" s="15">
        <v>0</v>
      </c>
      <c r="H718" s="15">
        <v>0</v>
      </c>
      <c r="I718" s="8" t="s">
        <v>720</v>
      </c>
      <c r="J718" s="20">
        <v>227.52500000000001</v>
      </c>
      <c r="K718" s="27" t="str">
        <f t="shared" si="77"/>
        <v>Survived</v>
      </c>
      <c r="L718" s="27" t="str">
        <f t="shared" si="78"/>
        <v>Adult</v>
      </c>
      <c r="M718" s="28">
        <f t="shared" si="79"/>
        <v>1</v>
      </c>
      <c r="N718" s="27" t="str">
        <f t="shared" si="80"/>
        <v>Alone</v>
      </c>
      <c r="O718" s="27" t="str">
        <f t="shared" si="81"/>
        <v>High Fare</v>
      </c>
      <c r="P718" s="27" t="str">
        <f t="shared" si="82"/>
        <v>First Class</v>
      </c>
      <c r="Q718" s="27">
        <f t="shared" si="83"/>
        <v>2</v>
      </c>
    </row>
    <row r="719" spans="1:17" x14ac:dyDescent="0.3">
      <c r="A719" s="16">
        <v>718</v>
      </c>
      <c r="B719" s="16">
        <v>1</v>
      </c>
      <c r="C719" s="16">
        <v>2</v>
      </c>
      <c r="D719" s="11" t="s">
        <v>1298</v>
      </c>
      <c r="E719" s="11" t="s">
        <v>14</v>
      </c>
      <c r="F719" s="25">
        <v>27</v>
      </c>
      <c r="G719" s="16">
        <v>0</v>
      </c>
      <c r="H719" s="16">
        <v>0</v>
      </c>
      <c r="I719" s="11" t="s">
        <v>1299</v>
      </c>
      <c r="J719" s="21">
        <v>10.5</v>
      </c>
      <c r="K719" s="27" t="str">
        <f t="shared" si="77"/>
        <v>Survived</v>
      </c>
      <c r="L719" s="27" t="str">
        <f t="shared" si="78"/>
        <v>Young Adult</v>
      </c>
      <c r="M719" s="28">
        <f t="shared" si="79"/>
        <v>1</v>
      </c>
      <c r="N719" s="27" t="str">
        <f t="shared" si="80"/>
        <v>Alone</v>
      </c>
      <c r="O719" s="27" t="str">
        <f t="shared" si="81"/>
        <v>Low Fare</v>
      </c>
      <c r="P719" s="27" t="str">
        <f t="shared" si="82"/>
        <v>Second Class</v>
      </c>
      <c r="Q719" s="27">
        <f t="shared" si="83"/>
        <v>2</v>
      </c>
    </row>
    <row r="720" spans="1:17" x14ac:dyDescent="0.3">
      <c r="A720" s="15">
        <v>719</v>
      </c>
      <c r="B720" s="15">
        <v>0</v>
      </c>
      <c r="C720" s="15">
        <v>3</v>
      </c>
      <c r="D720" s="8" t="s">
        <v>1300</v>
      </c>
      <c r="E720" s="8" t="s">
        <v>11</v>
      </c>
      <c r="F720" s="24">
        <v>26</v>
      </c>
      <c r="G720" s="15">
        <v>0</v>
      </c>
      <c r="H720" s="15">
        <v>0</v>
      </c>
      <c r="I720" s="8" t="s">
        <v>1301</v>
      </c>
      <c r="J720" s="20">
        <v>15.5</v>
      </c>
      <c r="K720" s="27" t="str">
        <f t="shared" si="77"/>
        <v>Died</v>
      </c>
      <c r="L720" s="27" t="str">
        <f t="shared" si="78"/>
        <v>Young Adult</v>
      </c>
      <c r="M720" s="28">
        <f t="shared" si="79"/>
        <v>1</v>
      </c>
      <c r="N720" s="27" t="str">
        <f t="shared" si="80"/>
        <v>Alone</v>
      </c>
      <c r="O720" s="27" t="str">
        <f t="shared" si="81"/>
        <v>Low Fare</v>
      </c>
      <c r="P720" s="27" t="str">
        <f t="shared" si="82"/>
        <v>Third Class</v>
      </c>
      <c r="Q720" s="27">
        <f t="shared" si="83"/>
        <v>1</v>
      </c>
    </row>
    <row r="721" spans="1:17" x14ac:dyDescent="0.3">
      <c r="A721" s="16">
        <v>720</v>
      </c>
      <c r="B721" s="16">
        <v>0</v>
      </c>
      <c r="C721" s="16">
        <v>3</v>
      </c>
      <c r="D721" s="11" t="s">
        <v>1302</v>
      </c>
      <c r="E721" s="11" t="s">
        <v>11</v>
      </c>
      <c r="F721" s="25">
        <v>33</v>
      </c>
      <c r="G721" s="16">
        <v>0</v>
      </c>
      <c r="H721" s="16">
        <v>0</v>
      </c>
      <c r="I721" s="11" t="s">
        <v>1303</v>
      </c>
      <c r="J721" s="21">
        <v>7.7750000000000004</v>
      </c>
      <c r="K721" s="27" t="str">
        <f t="shared" si="77"/>
        <v>Died</v>
      </c>
      <c r="L721" s="27" t="str">
        <f t="shared" si="78"/>
        <v>Young Adult</v>
      </c>
      <c r="M721" s="28">
        <f t="shared" si="79"/>
        <v>1</v>
      </c>
      <c r="N721" s="27" t="str">
        <f t="shared" si="80"/>
        <v>Alone</v>
      </c>
      <c r="O721" s="27" t="str">
        <f t="shared" si="81"/>
        <v>Low Fare</v>
      </c>
      <c r="P721" s="27" t="str">
        <f t="shared" si="82"/>
        <v>Third Class</v>
      </c>
      <c r="Q721" s="27">
        <f t="shared" si="83"/>
        <v>1</v>
      </c>
    </row>
    <row r="722" spans="1:17" x14ac:dyDescent="0.3">
      <c r="A722" s="15">
        <v>721</v>
      </c>
      <c r="B722" s="15">
        <v>1</v>
      </c>
      <c r="C722" s="15">
        <v>2</v>
      </c>
      <c r="D722" s="8" t="s">
        <v>1304</v>
      </c>
      <c r="E722" s="8" t="s">
        <v>14</v>
      </c>
      <c r="F722" s="24">
        <v>6</v>
      </c>
      <c r="G722" s="15">
        <v>0</v>
      </c>
      <c r="H722" s="15">
        <v>1</v>
      </c>
      <c r="I722" s="8" t="s">
        <v>1100</v>
      </c>
      <c r="J722" s="20">
        <v>33</v>
      </c>
      <c r="K722" s="27" t="str">
        <f t="shared" si="77"/>
        <v>Survived</v>
      </c>
      <c r="L722" s="27" t="str">
        <f t="shared" si="78"/>
        <v>Child</v>
      </c>
      <c r="M722" s="28">
        <f t="shared" si="79"/>
        <v>2</v>
      </c>
      <c r="N722" s="27" t="str">
        <f t="shared" si="80"/>
        <v>Small Family</v>
      </c>
      <c r="O722" s="27" t="str">
        <f t="shared" si="81"/>
        <v>Medium Fare</v>
      </c>
      <c r="P722" s="27" t="str">
        <f t="shared" si="82"/>
        <v>Second Class</v>
      </c>
      <c r="Q722" s="27">
        <f t="shared" si="83"/>
        <v>2</v>
      </c>
    </row>
    <row r="723" spans="1:17" x14ac:dyDescent="0.3">
      <c r="A723" s="16">
        <v>722</v>
      </c>
      <c r="B723" s="16">
        <v>0</v>
      </c>
      <c r="C723" s="16">
        <v>3</v>
      </c>
      <c r="D723" s="11" t="s">
        <v>1305</v>
      </c>
      <c r="E723" s="11" t="s">
        <v>11</v>
      </c>
      <c r="F723" s="25">
        <v>17</v>
      </c>
      <c r="G723" s="16">
        <v>1</v>
      </c>
      <c r="H723" s="16">
        <v>0</v>
      </c>
      <c r="I723" s="11" t="s">
        <v>1306</v>
      </c>
      <c r="J723" s="21">
        <v>7.0541999999999998</v>
      </c>
      <c r="K723" s="27" t="str">
        <f t="shared" si="77"/>
        <v>Died</v>
      </c>
      <c r="L723" s="27" t="str">
        <f t="shared" si="78"/>
        <v>Child</v>
      </c>
      <c r="M723" s="28">
        <f t="shared" si="79"/>
        <v>2</v>
      </c>
      <c r="N723" s="27" t="str">
        <f t="shared" si="80"/>
        <v>Small Family</v>
      </c>
      <c r="O723" s="27" t="str">
        <f t="shared" si="81"/>
        <v>Low Fare</v>
      </c>
      <c r="P723" s="27" t="str">
        <f t="shared" si="82"/>
        <v>Third Class</v>
      </c>
      <c r="Q723" s="27">
        <f t="shared" si="83"/>
        <v>1</v>
      </c>
    </row>
    <row r="724" spans="1:17" x14ac:dyDescent="0.3">
      <c r="A724" s="15">
        <v>723</v>
      </c>
      <c r="B724" s="15">
        <v>0</v>
      </c>
      <c r="C724" s="15">
        <v>2</v>
      </c>
      <c r="D724" s="8" t="s">
        <v>1307</v>
      </c>
      <c r="E724" s="8" t="s">
        <v>11</v>
      </c>
      <c r="F724" s="24">
        <v>34</v>
      </c>
      <c r="G724" s="15">
        <v>0</v>
      </c>
      <c r="H724" s="15">
        <v>0</v>
      </c>
      <c r="I724" s="8" t="s">
        <v>1308</v>
      </c>
      <c r="J724" s="20">
        <v>13</v>
      </c>
      <c r="K724" s="27" t="str">
        <f t="shared" si="77"/>
        <v>Died</v>
      </c>
      <c r="L724" s="27" t="str">
        <f t="shared" si="78"/>
        <v>Young Adult</v>
      </c>
      <c r="M724" s="28">
        <f t="shared" si="79"/>
        <v>1</v>
      </c>
      <c r="N724" s="27" t="str">
        <f t="shared" si="80"/>
        <v>Alone</v>
      </c>
      <c r="O724" s="27" t="str">
        <f t="shared" si="81"/>
        <v>Low Fare</v>
      </c>
      <c r="P724" s="27" t="str">
        <f t="shared" si="82"/>
        <v>Second Class</v>
      </c>
      <c r="Q724" s="27">
        <f t="shared" si="83"/>
        <v>1</v>
      </c>
    </row>
    <row r="725" spans="1:17" x14ac:dyDescent="0.3">
      <c r="A725" s="16">
        <v>724</v>
      </c>
      <c r="B725" s="16">
        <v>0</v>
      </c>
      <c r="C725" s="16">
        <v>2</v>
      </c>
      <c r="D725" s="11" t="s">
        <v>1309</v>
      </c>
      <c r="E725" s="11" t="s">
        <v>11</v>
      </c>
      <c r="F725" s="25">
        <v>50</v>
      </c>
      <c r="G725" s="16">
        <v>0</v>
      </c>
      <c r="H725" s="16">
        <v>0</v>
      </c>
      <c r="I725" s="11" t="s">
        <v>1310</v>
      </c>
      <c r="J725" s="21">
        <v>13</v>
      </c>
      <c r="K725" s="27" t="str">
        <f t="shared" si="77"/>
        <v>Died</v>
      </c>
      <c r="L725" s="27" t="str">
        <f t="shared" si="78"/>
        <v>Adult</v>
      </c>
      <c r="M725" s="28">
        <f t="shared" si="79"/>
        <v>1</v>
      </c>
      <c r="N725" s="27" t="str">
        <f t="shared" si="80"/>
        <v>Alone</v>
      </c>
      <c r="O725" s="27" t="str">
        <f t="shared" si="81"/>
        <v>Low Fare</v>
      </c>
      <c r="P725" s="27" t="str">
        <f t="shared" si="82"/>
        <v>Second Class</v>
      </c>
      <c r="Q725" s="27">
        <f t="shared" si="83"/>
        <v>1</v>
      </c>
    </row>
    <row r="726" spans="1:17" x14ac:dyDescent="0.3">
      <c r="A726" s="15">
        <v>725</v>
      </c>
      <c r="B726" s="15">
        <v>1</v>
      </c>
      <c r="C726" s="15">
        <v>1</v>
      </c>
      <c r="D726" s="8" t="s">
        <v>1311</v>
      </c>
      <c r="E726" s="8" t="s">
        <v>11</v>
      </c>
      <c r="F726" s="24">
        <v>27</v>
      </c>
      <c r="G726" s="15">
        <v>1</v>
      </c>
      <c r="H726" s="15">
        <v>0</v>
      </c>
      <c r="I726" s="8" t="s">
        <v>1312</v>
      </c>
      <c r="J726" s="20">
        <v>53.1</v>
      </c>
      <c r="K726" s="27" t="str">
        <f t="shared" si="77"/>
        <v>Survived</v>
      </c>
      <c r="L726" s="27" t="str">
        <f t="shared" si="78"/>
        <v>Young Adult</v>
      </c>
      <c r="M726" s="28">
        <f t="shared" si="79"/>
        <v>2</v>
      </c>
      <c r="N726" s="27" t="str">
        <f t="shared" si="80"/>
        <v>Small Family</v>
      </c>
      <c r="O726" s="27" t="str">
        <f t="shared" si="81"/>
        <v>Medium Fare</v>
      </c>
      <c r="P726" s="27" t="str">
        <f t="shared" si="82"/>
        <v>First Class</v>
      </c>
      <c r="Q726" s="27">
        <f t="shared" si="83"/>
        <v>1</v>
      </c>
    </row>
    <row r="727" spans="1:17" x14ac:dyDescent="0.3">
      <c r="A727" s="16">
        <v>726</v>
      </c>
      <c r="B727" s="16">
        <v>0</v>
      </c>
      <c r="C727" s="16">
        <v>3</v>
      </c>
      <c r="D727" s="11" t="s">
        <v>1313</v>
      </c>
      <c r="E727" s="11" t="s">
        <v>11</v>
      </c>
      <c r="F727" s="25">
        <v>20</v>
      </c>
      <c r="G727" s="16">
        <v>0</v>
      </c>
      <c r="H727" s="16">
        <v>0</v>
      </c>
      <c r="I727" s="11" t="s">
        <v>1314</v>
      </c>
      <c r="J727" s="21">
        <v>8.6624999999999996</v>
      </c>
      <c r="K727" s="27" t="str">
        <f t="shared" si="77"/>
        <v>Died</v>
      </c>
      <c r="L727" s="27" t="str">
        <f t="shared" si="78"/>
        <v>Young Adult</v>
      </c>
      <c r="M727" s="28">
        <f t="shared" si="79"/>
        <v>1</v>
      </c>
      <c r="N727" s="27" t="str">
        <f t="shared" si="80"/>
        <v>Alone</v>
      </c>
      <c r="O727" s="27" t="str">
        <f t="shared" si="81"/>
        <v>Low Fare</v>
      </c>
      <c r="P727" s="27" t="str">
        <f t="shared" si="82"/>
        <v>Third Class</v>
      </c>
      <c r="Q727" s="27">
        <f t="shared" si="83"/>
        <v>1</v>
      </c>
    </row>
    <row r="728" spans="1:17" x14ac:dyDescent="0.3">
      <c r="A728" s="15">
        <v>727</v>
      </c>
      <c r="B728" s="15">
        <v>1</v>
      </c>
      <c r="C728" s="15">
        <v>2</v>
      </c>
      <c r="D728" s="8" t="s">
        <v>1315</v>
      </c>
      <c r="E728" s="8" t="s">
        <v>14</v>
      </c>
      <c r="F728" s="24">
        <v>30</v>
      </c>
      <c r="G728" s="15">
        <v>3</v>
      </c>
      <c r="H728" s="15">
        <v>0</v>
      </c>
      <c r="I728" s="8" t="s">
        <v>891</v>
      </c>
      <c r="J728" s="20">
        <v>21</v>
      </c>
      <c r="K728" s="27" t="str">
        <f t="shared" si="77"/>
        <v>Survived</v>
      </c>
      <c r="L728" s="27" t="str">
        <f t="shared" si="78"/>
        <v>Young Adult</v>
      </c>
      <c r="M728" s="28">
        <f t="shared" si="79"/>
        <v>4</v>
      </c>
      <c r="N728" s="27" t="str">
        <f t="shared" si="80"/>
        <v>Small Family</v>
      </c>
      <c r="O728" s="27" t="str">
        <f t="shared" si="81"/>
        <v>Low Fare</v>
      </c>
      <c r="P728" s="27" t="str">
        <f t="shared" si="82"/>
        <v>Second Class</v>
      </c>
      <c r="Q728" s="27">
        <f t="shared" si="83"/>
        <v>2</v>
      </c>
    </row>
    <row r="729" spans="1:17" x14ac:dyDescent="0.3">
      <c r="A729" s="16">
        <v>728</v>
      </c>
      <c r="B729" s="16">
        <v>1</v>
      </c>
      <c r="C729" s="16">
        <v>3</v>
      </c>
      <c r="D729" s="11" t="s">
        <v>1316</v>
      </c>
      <c r="E729" s="11" t="s">
        <v>14</v>
      </c>
      <c r="F729" s="25">
        <v>26</v>
      </c>
      <c r="G729" s="16">
        <v>0</v>
      </c>
      <c r="H729" s="16">
        <v>0</v>
      </c>
      <c r="I729" s="11" t="s">
        <v>1317</v>
      </c>
      <c r="J729" s="21">
        <v>7.7374999999999998</v>
      </c>
      <c r="K729" s="27" t="str">
        <f t="shared" si="77"/>
        <v>Survived</v>
      </c>
      <c r="L729" s="27" t="str">
        <f t="shared" si="78"/>
        <v>Young Adult</v>
      </c>
      <c r="M729" s="28">
        <f t="shared" si="79"/>
        <v>1</v>
      </c>
      <c r="N729" s="27" t="str">
        <f t="shared" si="80"/>
        <v>Alone</v>
      </c>
      <c r="O729" s="27" t="str">
        <f t="shared" si="81"/>
        <v>Low Fare</v>
      </c>
      <c r="P729" s="27" t="str">
        <f t="shared" si="82"/>
        <v>Third Class</v>
      </c>
      <c r="Q729" s="27">
        <f t="shared" si="83"/>
        <v>2</v>
      </c>
    </row>
    <row r="730" spans="1:17" x14ac:dyDescent="0.3">
      <c r="A730" s="15">
        <v>729</v>
      </c>
      <c r="B730" s="15">
        <v>0</v>
      </c>
      <c r="C730" s="15">
        <v>2</v>
      </c>
      <c r="D730" s="8" t="s">
        <v>1318</v>
      </c>
      <c r="E730" s="8" t="s">
        <v>11</v>
      </c>
      <c r="F730" s="24">
        <v>25</v>
      </c>
      <c r="G730" s="15">
        <v>1</v>
      </c>
      <c r="H730" s="15">
        <v>0</v>
      </c>
      <c r="I730" s="8" t="s">
        <v>1319</v>
      </c>
      <c r="J730" s="20">
        <v>26</v>
      </c>
      <c r="K730" s="27" t="str">
        <f t="shared" si="77"/>
        <v>Died</v>
      </c>
      <c r="L730" s="27" t="str">
        <f t="shared" si="78"/>
        <v>Young Adult</v>
      </c>
      <c r="M730" s="28">
        <f t="shared" si="79"/>
        <v>2</v>
      </c>
      <c r="N730" s="27" t="str">
        <f t="shared" si="80"/>
        <v>Small Family</v>
      </c>
      <c r="O730" s="27" t="str">
        <f t="shared" si="81"/>
        <v>Medium Fare</v>
      </c>
      <c r="P730" s="27" t="str">
        <f t="shared" si="82"/>
        <v>Second Class</v>
      </c>
      <c r="Q730" s="27">
        <f t="shared" si="83"/>
        <v>1</v>
      </c>
    </row>
    <row r="731" spans="1:17" x14ac:dyDescent="0.3">
      <c r="A731" s="16">
        <v>730</v>
      </c>
      <c r="B731" s="16">
        <v>0</v>
      </c>
      <c r="C731" s="16">
        <v>3</v>
      </c>
      <c r="D731" s="11" t="s">
        <v>1320</v>
      </c>
      <c r="E731" s="11" t="s">
        <v>14</v>
      </c>
      <c r="F731" s="25">
        <v>25</v>
      </c>
      <c r="G731" s="16">
        <v>1</v>
      </c>
      <c r="H731" s="16">
        <v>0</v>
      </c>
      <c r="I731" s="11" t="s">
        <v>1321</v>
      </c>
      <c r="J731" s="21">
        <v>7.9249999999999998</v>
      </c>
      <c r="K731" s="27" t="str">
        <f t="shared" si="77"/>
        <v>Died</v>
      </c>
      <c r="L731" s="27" t="str">
        <f t="shared" si="78"/>
        <v>Young Adult</v>
      </c>
      <c r="M731" s="28">
        <f t="shared" si="79"/>
        <v>2</v>
      </c>
      <c r="N731" s="27" t="str">
        <f t="shared" si="80"/>
        <v>Small Family</v>
      </c>
      <c r="O731" s="27" t="str">
        <f t="shared" si="81"/>
        <v>Low Fare</v>
      </c>
      <c r="P731" s="27" t="str">
        <f t="shared" si="82"/>
        <v>Third Class</v>
      </c>
      <c r="Q731" s="27">
        <f t="shared" si="83"/>
        <v>2</v>
      </c>
    </row>
    <row r="732" spans="1:17" x14ac:dyDescent="0.3">
      <c r="A732" s="15">
        <v>731</v>
      </c>
      <c r="B732" s="15">
        <v>1</v>
      </c>
      <c r="C732" s="15">
        <v>1</v>
      </c>
      <c r="D732" s="8" t="s">
        <v>1322</v>
      </c>
      <c r="E732" s="8" t="s">
        <v>14</v>
      </c>
      <c r="F732" s="24">
        <v>29</v>
      </c>
      <c r="G732" s="15">
        <v>0</v>
      </c>
      <c r="H732" s="15">
        <v>0</v>
      </c>
      <c r="I732" s="8" t="s">
        <v>1252</v>
      </c>
      <c r="J732" s="20">
        <v>211.33750000000001</v>
      </c>
      <c r="K732" s="27" t="str">
        <f t="shared" si="77"/>
        <v>Survived</v>
      </c>
      <c r="L732" s="27" t="str">
        <f t="shared" si="78"/>
        <v>Young Adult</v>
      </c>
      <c r="M732" s="28">
        <f t="shared" si="79"/>
        <v>1</v>
      </c>
      <c r="N732" s="27" t="str">
        <f t="shared" si="80"/>
        <v>Alone</v>
      </c>
      <c r="O732" s="27" t="str">
        <f t="shared" si="81"/>
        <v>High Fare</v>
      </c>
      <c r="P732" s="27" t="str">
        <f t="shared" si="82"/>
        <v>First Class</v>
      </c>
      <c r="Q732" s="27">
        <f t="shared" si="83"/>
        <v>2</v>
      </c>
    </row>
    <row r="733" spans="1:17" x14ac:dyDescent="0.3">
      <c r="A733" s="16">
        <v>732</v>
      </c>
      <c r="B733" s="16">
        <v>0</v>
      </c>
      <c r="C733" s="16">
        <v>3</v>
      </c>
      <c r="D733" s="11" t="s">
        <v>1323</v>
      </c>
      <c r="E733" s="11" t="s">
        <v>11</v>
      </c>
      <c r="F733" s="25">
        <v>11</v>
      </c>
      <c r="G733" s="16">
        <v>0</v>
      </c>
      <c r="H733" s="16">
        <v>0</v>
      </c>
      <c r="I733" s="11" t="s">
        <v>405</v>
      </c>
      <c r="J733" s="21">
        <v>18.787500000000001</v>
      </c>
      <c r="K733" s="27" t="str">
        <f t="shared" si="77"/>
        <v>Died</v>
      </c>
      <c r="L733" s="27" t="str">
        <f t="shared" si="78"/>
        <v>Child</v>
      </c>
      <c r="M733" s="28">
        <f t="shared" si="79"/>
        <v>1</v>
      </c>
      <c r="N733" s="27" t="str">
        <f t="shared" si="80"/>
        <v>Alone</v>
      </c>
      <c r="O733" s="27" t="str">
        <f t="shared" si="81"/>
        <v>Low Fare</v>
      </c>
      <c r="P733" s="27" t="str">
        <f t="shared" si="82"/>
        <v>Third Class</v>
      </c>
      <c r="Q733" s="27">
        <f t="shared" si="83"/>
        <v>1</v>
      </c>
    </row>
    <row r="734" spans="1:17" x14ac:dyDescent="0.3">
      <c r="A734" s="15">
        <v>733</v>
      </c>
      <c r="B734" s="15">
        <v>0</v>
      </c>
      <c r="C734" s="15">
        <v>2</v>
      </c>
      <c r="D734" s="8" t="s">
        <v>1324</v>
      </c>
      <c r="E734" s="8" t="s">
        <v>11</v>
      </c>
      <c r="F734" s="24">
        <v>26</v>
      </c>
      <c r="G734" s="15">
        <v>0</v>
      </c>
      <c r="H734" s="15">
        <v>0</v>
      </c>
      <c r="I734" s="8" t="s">
        <v>1325</v>
      </c>
      <c r="J734" s="20">
        <v>0</v>
      </c>
      <c r="K734" s="27" t="str">
        <f t="shared" si="77"/>
        <v>Died</v>
      </c>
      <c r="L734" s="27" t="str">
        <f t="shared" si="78"/>
        <v>Young Adult</v>
      </c>
      <c r="M734" s="28">
        <f t="shared" si="79"/>
        <v>1</v>
      </c>
      <c r="N734" s="27" t="str">
        <f t="shared" si="80"/>
        <v>Alone</v>
      </c>
      <c r="O734" s="27" t="str">
        <f t="shared" si="81"/>
        <v>Low Fare</v>
      </c>
      <c r="P734" s="27" t="str">
        <f t="shared" si="82"/>
        <v>Second Class</v>
      </c>
      <c r="Q734" s="27">
        <f t="shared" si="83"/>
        <v>1</v>
      </c>
    </row>
    <row r="735" spans="1:17" x14ac:dyDescent="0.3">
      <c r="A735" s="16">
        <v>734</v>
      </c>
      <c r="B735" s="16">
        <v>0</v>
      </c>
      <c r="C735" s="16">
        <v>2</v>
      </c>
      <c r="D735" s="11" t="s">
        <v>1326</v>
      </c>
      <c r="E735" s="11" t="s">
        <v>11</v>
      </c>
      <c r="F735" s="25">
        <v>23</v>
      </c>
      <c r="G735" s="16">
        <v>0</v>
      </c>
      <c r="H735" s="16">
        <v>0</v>
      </c>
      <c r="I735" s="11" t="s">
        <v>1327</v>
      </c>
      <c r="J735" s="21">
        <v>13</v>
      </c>
      <c r="K735" s="27" t="str">
        <f t="shared" si="77"/>
        <v>Died</v>
      </c>
      <c r="L735" s="27" t="str">
        <f t="shared" si="78"/>
        <v>Young Adult</v>
      </c>
      <c r="M735" s="28">
        <f t="shared" si="79"/>
        <v>1</v>
      </c>
      <c r="N735" s="27" t="str">
        <f t="shared" si="80"/>
        <v>Alone</v>
      </c>
      <c r="O735" s="27" t="str">
        <f t="shared" si="81"/>
        <v>Low Fare</v>
      </c>
      <c r="P735" s="27" t="str">
        <f t="shared" si="82"/>
        <v>Second Class</v>
      </c>
      <c r="Q735" s="27">
        <f t="shared" si="83"/>
        <v>1</v>
      </c>
    </row>
    <row r="736" spans="1:17" x14ac:dyDescent="0.3">
      <c r="A736" s="15">
        <v>735</v>
      </c>
      <c r="B736" s="15">
        <v>0</v>
      </c>
      <c r="C736" s="15">
        <v>2</v>
      </c>
      <c r="D736" s="8" t="s">
        <v>1328</v>
      </c>
      <c r="E736" s="8" t="s">
        <v>11</v>
      </c>
      <c r="F736" s="24">
        <v>23</v>
      </c>
      <c r="G736" s="15">
        <v>0</v>
      </c>
      <c r="H736" s="15">
        <v>0</v>
      </c>
      <c r="I736" s="8" t="s">
        <v>1329</v>
      </c>
      <c r="J736" s="20">
        <v>13</v>
      </c>
      <c r="K736" s="27" t="str">
        <f t="shared" si="77"/>
        <v>Died</v>
      </c>
      <c r="L736" s="27" t="str">
        <f t="shared" si="78"/>
        <v>Young Adult</v>
      </c>
      <c r="M736" s="28">
        <f t="shared" si="79"/>
        <v>1</v>
      </c>
      <c r="N736" s="27" t="str">
        <f t="shared" si="80"/>
        <v>Alone</v>
      </c>
      <c r="O736" s="27" t="str">
        <f t="shared" si="81"/>
        <v>Low Fare</v>
      </c>
      <c r="P736" s="27" t="str">
        <f t="shared" si="82"/>
        <v>Second Class</v>
      </c>
      <c r="Q736" s="27">
        <f t="shared" si="83"/>
        <v>1</v>
      </c>
    </row>
    <row r="737" spans="1:17" x14ac:dyDescent="0.3">
      <c r="A737" s="16">
        <v>736</v>
      </c>
      <c r="B737" s="16">
        <v>0</v>
      </c>
      <c r="C737" s="16">
        <v>3</v>
      </c>
      <c r="D737" s="11" t="s">
        <v>1330</v>
      </c>
      <c r="E737" s="11" t="s">
        <v>11</v>
      </c>
      <c r="F737" s="25">
        <v>28.5</v>
      </c>
      <c r="G737" s="16">
        <v>0</v>
      </c>
      <c r="H737" s="16">
        <v>0</v>
      </c>
      <c r="I737" s="11" t="s">
        <v>1145</v>
      </c>
      <c r="J737" s="21">
        <v>16.100000000000001</v>
      </c>
      <c r="K737" s="27" t="str">
        <f t="shared" si="77"/>
        <v>Died</v>
      </c>
      <c r="L737" s="27" t="str">
        <f t="shared" si="78"/>
        <v>Young Adult</v>
      </c>
      <c r="M737" s="28">
        <f t="shared" si="79"/>
        <v>1</v>
      </c>
      <c r="N737" s="27" t="str">
        <f t="shared" si="80"/>
        <v>Alone</v>
      </c>
      <c r="O737" s="27" t="str">
        <f t="shared" si="81"/>
        <v>Low Fare</v>
      </c>
      <c r="P737" s="27" t="str">
        <f t="shared" si="82"/>
        <v>Third Class</v>
      </c>
      <c r="Q737" s="27">
        <f t="shared" si="83"/>
        <v>1</v>
      </c>
    </row>
    <row r="738" spans="1:17" x14ac:dyDescent="0.3">
      <c r="A738" s="15">
        <v>737</v>
      </c>
      <c r="B738" s="15">
        <v>0</v>
      </c>
      <c r="C738" s="15">
        <v>3</v>
      </c>
      <c r="D738" s="8" t="s">
        <v>1331</v>
      </c>
      <c r="E738" s="8" t="s">
        <v>14</v>
      </c>
      <c r="F738" s="24">
        <v>48</v>
      </c>
      <c r="G738" s="15">
        <v>1</v>
      </c>
      <c r="H738" s="15">
        <v>3</v>
      </c>
      <c r="I738" s="8" t="s">
        <v>183</v>
      </c>
      <c r="J738" s="20">
        <v>34.375</v>
      </c>
      <c r="K738" s="27" t="str">
        <f t="shared" si="77"/>
        <v>Died</v>
      </c>
      <c r="L738" s="27" t="str">
        <f t="shared" si="78"/>
        <v>Adult</v>
      </c>
      <c r="M738" s="28">
        <f t="shared" si="79"/>
        <v>5</v>
      </c>
      <c r="N738" s="27" t="str">
        <f t="shared" si="80"/>
        <v>Large Family</v>
      </c>
      <c r="O738" s="27" t="str">
        <f t="shared" si="81"/>
        <v>Medium Fare</v>
      </c>
      <c r="P738" s="27" t="str">
        <f t="shared" si="82"/>
        <v>Third Class</v>
      </c>
      <c r="Q738" s="27">
        <f t="shared" si="83"/>
        <v>2</v>
      </c>
    </row>
    <row r="739" spans="1:17" x14ac:dyDescent="0.3">
      <c r="A739" s="16">
        <v>738</v>
      </c>
      <c r="B739" s="16">
        <v>1</v>
      </c>
      <c r="C739" s="16">
        <v>1</v>
      </c>
      <c r="D739" s="11" t="s">
        <v>1332</v>
      </c>
      <c r="E739" s="11" t="s">
        <v>11</v>
      </c>
      <c r="F739" s="25">
        <v>35</v>
      </c>
      <c r="G739" s="16">
        <v>0</v>
      </c>
      <c r="H739" s="16">
        <v>0</v>
      </c>
      <c r="I739" s="11" t="s">
        <v>502</v>
      </c>
      <c r="J739" s="21">
        <v>512.32920000000001</v>
      </c>
      <c r="K739" s="27" t="str">
        <f t="shared" si="77"/>
        <v>Survived</v>
      </c>
      <c r="L739" s="27" t="str">
        <f t="shared" si="78"/>
        <v>Adult</v>
      </c>
      <c r="M739" s="28">
        <f t="shared" si="79"/>
        <v>1</v>
      </c>
      <c r="N739" s="27" t="str">
        <f t="shared" si="80"/>
        <v>Alone</v>
      </c>
      <c r="O739" s="27" t="str">
        <f t="shared" si="81"/>
        <v>High Fare</v>
      </c>
      <c r="P739" s="27" t="str">
        <f t="shared" si="82"/>
        <v>First Class</v>
      </c>
      <c r="Q739" s="27">
        <f t="shared" si="83"/>
        <v>1</v>
      </c>
    </row>
    <row r="740" spans="1:17" x14ac:dyDescent="0.3">
      <c r="A740" s="15">
        <v>739</v>
      </c>
      <c r="B740" s="15">
        <v>0</v>
      </c>
      <c r="C740" s="15">
        <v>3</v>
      </c>
      <c r="D740" s="8" t="s">
        <v>1333</v>
      </c>
      <c r="E740" s="8" t="s">
        <v>11</v>
      </c>
      <c r="F740" s="24">
        <v>26</v>
      </c>
      <c r="G740" s="15">
        <v>0</v>
      </c>
      <c r="H740" s="15">
        <v>0</v>
      </c>
      <c r="I740" s="8" t="s">
        <v>1334</v>
      </c>
      <c r="J740" s="20">
        <v>7.8958000000000004</v>
      </c>
      <c r="K740" s="27" t="str">
        <f t="shared" si="77"/>
        <v>Died</v>
      </c>
      <c r="L740" s="27" t="str">
        <f t="shared" si="78"/>
        <v>Young Adult</v>
      </c>
      <c r="M740" s="28">
        <f t="shared" si="79"/>
        <v>1</v>
      </c>
      <c r="N740" s="27" t="str">
        <f t="shared" si="80"/>
        <v>Alone</v>
      </c>
      <c r="O740" s="27" t="str">
        <f t="shared" si="81"/>
        <v>Low Fare</v>
      </c>
      <c r="P740" s="27" t="str">
        <f t="shared" si="82"/>
        <v>Third Class</v>
      </c>
      <c r="Q740" s="27">
        <f t="shared" si="83"/>
        <v>1</v>
      </c>
    </row>
    <row r="741" spans="1:17" x14ac:dyDescent="0.3">
      <c r="A741" s="16">
        <v>740</v>
      </c>
      <c r="B741" s="16">
        <v>0</v>
      </c>
      <c r="C741" s="16">
        <v>3</v>
      </c>
      <c r="D741" s="11" t="s">
        <v>1335</v>
      </c>
      <c r="E741" s="11" t="s">
        <v>11</v>
      </c>
      <c r="F741" s="25">
        <v>26</v>
      </c>
      <c r="G741" s="16">
        <v>0</v>
      </c>
      <c r="H741" s="16">
        <v>0</v>
      </c>
      <c r="I741" s="11" t="s">
        <v>1336</v>
      </c>
      <c r="J741" s="21">
        <v>7.8958000000000004</v>
      </c>
      <c r="K741" s="27" t="str">
        <f t="shared" si="77"/>
        <v>Died</v>
      </c>
      <c r="L741" s="27" t="str">
        <f t="shared" si="78"/>
        <v>Young Adult</v>
      </c>
      <c r="M741" s="28">
        <f t="shared" si="79"/>
        <v>1</v>
      </c>
      <c r="N741" s="27" t="str">
        <f t="shared" si="80"/>
        <v>Alone</v>
      </c>
      <c r="O741" s="27" t="str">
        <f t="shared" si="81"/>
        <v>Low Fare</v>
      </c>
      <c r="P741" s="27" t="str">
        <f t="shared" si="82"/>
        <v>Third Class</v>
      </c>
      <c r="Q741" s="27">
        <f t="shared" si="83"/>
        <v>1</v>
      </c>
    </row>
    <row r="742" spans="1:17" x14ac:dyDescent="0.3">
      <c r="A742" s="15">
        <v>741</v>
      </c>
      <c r="B742" s="15">
        <v>1</v>
      </c>
      <c r="C742" s="15">
        <v>1</v>
      </c>
      <c r="D742" s="8" t="s">
        <v>1337</v>
      </c>
      <c r="E742" s="8" t="s">
        <v>11</v>
      </c>
      <c r="F742" s="24">
        <v>26</v>
      </c>
      <c r="G742" s="15">
        <v>0</v>
      </c>
      <c r="H742" s="15">
        <v>0</v>
      </c>
      <c r="I742" s="8" t="s">
        <v>1338</v>
      </c>
      <c r="J742" s="20">
        <v>30</v>
      </c>
      <c r="K742" s="27" t="str">
        <f t="shared" si="77"/>
        <v>Survived</v>
      </c>
      <c r="L742" s="27" t="str">
        <f t="shared" si="78"/>
        <v>Young Adult</v>
      </c>
      <c r="M742" s="28">
        <f t="shared" si="79"/>
        <v>1</v>
      </c>
      <c r="N742" s="27" t="str">
        <f t="shared" si="80"/>
        <v>Alone</v>
      </c>
      <c r="O742" s="27" t="str">
        <f t="shared" si="81"/>
        <v>Medium Fare</v>
      </c>
      <c r="P742" s="27" t="str">
        <f t="shared" si="82"/>
        <v>First Class</v>
      </c>
      <c r="Q742" s="27">
        <f t="shared" si="83"/>
        <v>1</v>
      </c>
    </row>
    <row r="743" spans="1:17" x14ac:dyDescent="0.3">
      <c r="A743" s="16">
        <v>742</v>
      </c>
      <c r="B743" s="16">
        <v>0</v>
      </c>
      <c r="C743" s="16">
        <v>1</v>
      </c>
      <c r="D743" s="11" t="s">
        <v>1339</v>
      </c>
      <c r="E743" s="11" t="s">
        <v>11</v>
      </c>
      <c r="F743" s="25">
        <v>36</v>
      </c>
      <c r="G743" s="16">
        <v>1</v>
      </c>
      <c r="H743" s="16">
        <v>0</v>
      </c>
      <c r="I743" s="11" t="s">
        <v>562</v>
      </c>
      <c r="J743" s="21">
        <v>78.849999999999994</v>
      </c>
      <c r="K743" s="27" t="str">
        <f t="shared" si="77"/>
        <v>Died</v>
      </c>
      <c r="L743" s="27" t="str">
        <f t="shared" si="78"/>
        <v>Adult</v>
      </c>
      <c r="M743" s="28">
        <f t="shared" si="79"/>
        <v>2</v>
      </c>
      <c r="N743" s="27" t="str">
        <f t="shared" si="80"/>
        <v>Small Family</v>
      </c>
      <c r="O743" s="27" t="str">
        <f t="shared" si="81"/>
        <v>Medium Fare</v>
      </c>
      <c r="P743" s="27" t="str">
        <f t="shared" si="82"/>
        <v>First Class</v>
      </c>
      <c r="Q743" s="27">
        <f t="shared" si="83"/>
        <v>1</v>
      </c>
    </row>
    <row r="744" spans="1:17" x14ac:dyDescent="0.3">
      <c r="A744" s="15">
        <v>743</v>
      </c>
      <c r="B744" s="15">
        <v>1</v>
      </c>
      <c r="C744" s="15">
        <v>1</v>
      </c>
      <c r="D744" s="8" t="s">
        <v>1340</v>
      </c>
      <c r="E744" s="8" t="s">
        <v>14</v>
      </c>
      <c r="F744" s="24">
        <v>21</v>
      </c>
      <c r="G744" s="15">
        <v>2</v>
      </c>
      <c r="H744" s="15">
        <v>2</v>
      </c>
      <c r="I744" s="8" t="s">
        <v>601</v>
      </c>
      <c r="J744" s="20">
        <v>262.375</v>
      </c>
      <c r="K744" s="27" t="str">
        <f t="shared" si="77"/>
        <v>Survived</v>
      </c>
      <c r="L744" s="27" t="str">
        <f t="shared" si="78"/>
        <v>Young Adult</v>
      </c>
      <c r="M744" s="28">
        <f t="shared" si="79"/>
        <v>5</v>
      </c>
      <c r="N744" s="27" t="str">
        <f t="shared" si="80"/>
        <v>Large Family</v>
      </c>
      <c r="O744" s="27" t="str">
        <f t="shared" si="81"/>
        <v>High Fare</v>
      </c>
      <c r="P744" s="27" t="str">
        <f t="shared" si="82"/>
        <v>First Class</v>
      </c>
      <c r="Q744" s="27">
        <f t="shared" si="83"/>
        <v>2</v>
      </c>
    </row>
    <row r="745" spans="1:17" x14ac:dyDescent="0.3">
      <c r="A745" s="16">
        <v>744</v>
      </c>
      <c r="B745" s="16">
        <v>0</v>
      </c>
      <c r="C745" s="16">
        <v>3</v>
      </c>
      <c r="D745" s="11" t="s">
        <v>1341</v>
      </c>
      <c r="E745" s="11" t="s">
        <v>11</v>
      </c>
      <c r="F745" s="25">
        <v>24</v>
      </c>
      <c r="G745" s="16">
        <v>1</v>
      </c>
      <c r="H745" s="16">
        <v>0</v>
      </c>
      <c r="I745" s="11" t="s">
        <v>1342</v>
      </c>
      <c r="J745" s="21">
        <v>16.100000000000001</v>
      </c>
      <c r="K745" s="27" t="str">
        <f t="shared" si="77"/>
        <v>Died</v>
      </c>
      <c r="L745" s="27" t="str">
        <f t="shared" si="78"/>
        <v>Young Adult</v>
      </c>
      <c r="M745" s="28">
        <f t="shared" si="79"/>
        <v>2</v>
      </c>
      <c r="N745" s="27" t="str">
        <f t="shared" si="80"/>
        <v>Small Family</v>
      </c>
      <c r="O745" s="27" t="str">
        <f t="shared" si="81"/>
        <v>Low Fare</v>
      </c>
      <c r="P745" s="27" t="str">
        <f t="shared" si="82"/>
        <v>Third Class</v>
      </c>
      <c r="Q745" s="27">
        <f t="shared" si="83"/>
        <v>1</v>
      </c>
    </row>
    <row r="746" spans="1:17" x14ac:dyDescent="0.3">
      <c r="A746" s="15">
        <v>745</v>
      </c>
      <c r="B746" s="15">
        <v>1</v>
      </c>
      <c r="C746" s="15">
        <v>3</v>
      </c>
      <c r="D746" s="8" t="s">
        <v>1343</v>
      </c>
      <c r="E746" s="8" t="s">
        <v>11</v>
      </c>
      <c r="F746" s="24">
        <v>31</v>
      </c>
      <c r="G746" s="15">
        <v>0</v>
      </c>
      <c r="H746" s="15">
        <v>0</v>
      </c>
      <c r="I746" s="8" t="s">
        <v>1344</v>
      </c>
      <c r="J746" s="20">
        <v>7.9249999999999998</v>
      </c>
      <c r="K746" s="27" t="str">
        <f t="shared" si="77"/>
        <v>Survived</v>
      </c>
      <c r="L746" s="27" t="str">
        <f t="shared" si="78"/>
        <v>Young Adult</v>
      </c>
      <c r="M746" s="28">
        <f t="shared" si="79"/>
        <v>1</v>
      </c>
      <c r="N746" s="27" t="str">
        <f t="shared" si="80"/>
        <v>Alone</v>
      </c>
      <c r="O746" s="27" t="str">
        <f t="shared" si="81"/>
        <v>Low Fare</v>
      </c>
      <c r="P746" s="27" t="str">
        <f t="shared" si="82"/>
        <v>Third Class</v>
      </c>
      <c r="Q746" s="27">
        <f t="shared" si="83"/>
        <v>1</v>
      </c>
    </row>
    <row r="747" spans="1:17" x14ac:dyDescent="0.3">
      <c r="A747" s="16">
        <v>746</v>
      </c>
      <c r="B747" s="16">
        <v>0</v>
      </c>
      <c r="C747" s="16">
        <v>1</v>
      </c>
      <c r="D747" s="11" t="s">
        <v>1345</v>
      </c>
      <c r="E747" s="11" t="s">
        <v>11</v>
      </c>
      <c r="F747" s="25">
        <v>70</v>
      </c>
      <c r="G747" s="16">
        <v>1</v>
      </c>
      <c r="H747" s="16">
        <v>1</v>
      </c>
      <c r="I747" s="11" t="s">
        <v>1004</v>
      </c>
      <c r="J747" s="21">
        <v>71</v>
      </c>
      <c r="K747" s="27" t="str">
        <f t="shared" si="77"/>
        <v>Died</v>
      </c>
      <c r="L747" s="27" t="str">
        <f t="shared" si="78"/>
        <v>Senior</v>
      </c>
      <c r="M747" s="28">
        <f t="shared" si="79"/>
        <v>3</v>
      </c>
      <c r="N747" s="27" t="str">
        <f t="shared" si="80"/>
        <v>Small Family</v>
      </c>
      <c r="O747" s="27" t="str">
        <f t="shared" si="81"/>
        <v>Medium Fare</v>
      </c>
      <c r="P747" s="27" t="str">
        <f t="shared" si="82"/>
        <v>First Class</v>
      </c>
      <c r="Q747" s="27">
        <f t="shared" si="83"/>
        <v>1</v>
      </c>
    </row>
    <row r="748" spans="1:17" x14ac:dyDescent="0.3">
      <c r="A748" s="15">
        <v>747</v>
      </c>
      <c r="B748" s="15">
        <v>0</v>
      </c>
      <c r="C748" s="15">
        <v>3</v>
      </c>
      <c r="D748" s="8" t="s">
        <v>1346</v>
      </c>
      <c r="E748" s="8" t="s">
        <v>11</v>
      </c>
      <c r="F748" s="24">
        <v>16</v>
      </c>
      <c r="G748" s="15">
        <v>1</v>
      </c>
      <c r="H748" s="15">
        <v>1</v>
      </c>
      <c r="I748" s="8" t="s">
        <v>540</v>
      </c>
      <c r="J748" s="20">
        <v>20.25</v>
      </c>
      <c r="K748" s="27" t="str">
        <f t="shared" si="77"/>
        <v>Died</v>
      </c>
      <c r="L748" s="27" t="str">
        <f t="shared" si="78"/>
        <v>Child</v>
      </c>
      <c r="M748" s="28">
        <f t="shared" si="79"/>
        <v>3</v>
      </c>
      <c r="N748" s="27" t="str">
        <f t="shared" si="80"/>
        <v>Small Family</v>
      </c>
      <c r="O748" s="27" t="str">
        <f t="shared" si="81"/>
        <v>Low Fare</v>
      </c>
      <c r="P748" s="27" t="str">
        <f t="shared" si="82"/>
        <v>Third Class</v>
      </c>
      <c r="Q748" s="27">
        <f t="shared" si="83"/>
        <v>1</v>
      </c>
    </row>
    <row r="749" spans="1:17" x14ac:dyDescent="0.3">
      <c r="A749" s="16">
        <v>748</v>
      </c>
      <c r="B749" s="16">
        <v>1</v>
      </c>
      <c r="C749" s="16">
        <v>2</v>
      </c>
      <c r="D749" s="11" t="s">
        <v>1347</v>
      </c>
      <c r="E749" s="11" t="s">
        <v>14</v>
      </c>
      <c r="F749" s="25">
        <v>30</v>
      </c>
      <c r="G749" s="16">
        <v>0</v>
      </c>
      <c r="H749" s="16">
        <v>0</v>
      </c>
      <c r="I749" s="11" t="s">
        <v>1348</v>
      </c>
      <c r="J749" s="21">
        <v>13</v>
      </c>
      <c r="K749" s="27" t="str">
        <f t="shared" si="77"/>
        <v>Survived</v>
      </c>
      <c r="L749" s="27" t="str">
        <f t="shared" si="78"/>
        <v>Young Adult</v>
      </c>
      <c r="M749" s="28">
        <f t="shared" si="79"/>
        <v>1</v>
      </c>
      <c r="N749" s="27" t="str">
        <f t="shared" si="80"/>
        <v>Alone</v>
      </c>
      <c r="O749" s="27" t="str">
        <f t="shared" si="81"/>
        <v>Low Fare</v>
      </c>
      <c r="P749" s="27" t="str">
        <f t="shared" si="82"/>
        <v>Second Class</v>
      </c>
      <c r="Q749" s="27">
        <f t="shared" si="83"/>
        <v>2</v>
      </c>
    </row>
    <row r="750" spans="1:17" x14ac:dyDescent="0.3">
      <c r="A750" s="15">
        <v>749</v>
      </c>
      <c r="B750" s="15">
        <v>0</v>
      </c>
      <c r="C750" s="15">
        <v>1</v>
      </c>
      <c r="D750" s="8" t="s">
        <v>1349</v>
      </c>
      <c r="E750" s="8" t="s">
        <v>11</v>
      </c>
      <c r="F750" s="24">
        <v>19</v>
      </c>
      <c r="G750" s="15">
        <v>1</v>
      </c>
      <c r="H750" s="15">
        <v>0</v>
      </c>
      <c r="I750" s="8" t="s">
        <v>1350</v>
      </c>
      <c r="J750" s="20">
        <v>53.1</v>
      </c>
      <c r="K750" s="27" t="str">
        <f t="shared" si="77"/>
        <v>Died</v>
      </c>
      <c r="L750" s="27" t="str">
        <f t="shared" si="78"/>
        <v>Young Adult</v>
      </c>
      <c r="M750" s="28">
        <f t="shared" si="79"/>
        <v>2</v>
      </c>
      <c r="N750" s="27" t="str">
        <f t="shared" si="80"/>
        <v>Small Family</v>
      </c>
      <c r="O750" s="27" t="str">
        <f t="shared" si="81"/>
        <v>Medium Fare</v>
      </c>
      <c r="P750" s="27" t="str">
        <f t="shared" si="82"/>
        <v>First Class</v>
      </c>
      <c r="Q750" s="27">
        <f t="shared" si="83"/>
        <v>1</v>
      </c>
    </row>
    <row r="751" spans="1:17" x14ac:dyDescent="0.3">
      <c r="A751" s="16">
        <v>750</v>
      </c>
      <c r="B751" s="16">
        <v>0</v>
      </c>
      <c r="C751" s="16">
        <v>3</v>
      </c>
      <c r="D751" s="11" t="s">
        <v>1351</v>
      </c>
      <c r="E751" s="11" t="s">
        <v>11</v>
      </c>
      <c r="F751" s="25">
        <v>31</v>
      </c>
      <c r="G751" s="16">
        <v>0</v>
      </c>
      <c r="H751" s="16">
        <v>0</v>
      </c>
      <c r="I751" s="11" t="s">
        <v>1352</v>
      </c>
      <c r="J751" s="21">
        <v>7.75</v>
      </c>
      <c r="K751" s="27" t="str">
        <f t="shared" si="77"/>
        <v>Died</v>
      </c>
      <c r="L751" s="27" t="str">
        <f t="shared" si="78"/>
        <v>Young Adult</v>
      </c>
      <c r="M751" s="28">
        <f t="shared" si="79"/>
        <v>1</v>
      </c>
      <c r="N751" s="27" t="str">
        <f t="shared" si="80"/>
        <v>Alone</v>
      </c>
      <c r="O751" s="27" t="str">
        <f t="shared" si="81"/>
        <v>Low Fare</v>
      </c>
      <c r="P751" s="27" t="str">
        <f t="shared" si="82"/>
        <v>Third Class</v>
      </c>
      <c r="Q751" s="27">
        <f t="shared" si="83"/>
        <v>1</v>
      </c>
    </row>
    <row r="752" spans="1:17" x14ac:dyDescent="0.3">
      <c r="A752" s="15">
        <v>751</v>
      </c>
      <c r="B752" s="15">
        <v>1</v>
      </c>
      <c r="C752" s="15">
        <v>2</v>
      </c>
      <c r="D752" s="8" t="s">
        <v>1353</v>
      </c>
      <c r="E752" s="8" t="s">
        <v>14</v>
      </c>
      <c r="F752" s="24">
        <v>4</v>
      </c>
      <c r="G752" s="15">
        <v>1</v>
      </c>
      <c r="H752" s="15">
        <v>1</v>
      </c>
      <c r="I752" s="8" t="s">
        <v>1354</v>
      </c>
      <c r="J752" s="20">
        <v>23</v>
      </c>
      <c r="K752" s="27" t="str">
        <f t="shared" si="77"/>
        <v>Survived</v>
      </c>
      <c r="L752" s="27" t="str">
        <f t="shared" si="78"/>
        <v>Child</v>
      </c>
      <c r="M752" s="28">
        <f t="shared" si="79"/>
        <v>3</v>
      </c>
      <c r="N752" s="27" t="str">
        <f t="shared" si="80"/>
        <v>Small Family</v>
      </c>
      <c r="O752" s="27" t="str">
        <f t="shared" si="81"/>
        <v>Low Fare</v>
      </c>
      <c r="P752" s="27" t="str">
        <f t="shared" si="82"/>
        <v>Second Class</v>
      </c>
      <c r="Q752" s="27">
        <f t="shared" si="83"/>
        <v>2</v>
      </c>
    </row>
    <row r="753" spans="1:17" x14ac:dyDescent="0.3">
      <c r="A753" s="16">
        <v>752</v>
      </c>
      <c r="B753" s="16">
        <v>1</v>
      </c>
      <c r="C753" s="16">
        <v>3</v>
      </c>
      <c r="D753" s="11" t="s">
        <v>1355</v>
      </c>
      <c r="E753" s="11" t="s">
        <v>11</v>
      </c>
      <c r="F753" s="25">
        <v>6</v>
      </c>
      <c r="G753" s="16">
        <v>0</v>
      </c>
      <c r="H753" s="16">
        <v>1</v>
      </c>
      <c r="I753" s="11" t="s">
        <v>1356</v>
      </c>
      <c r="J753" s="21">
        <v>12.475</v>
      </c>
      <c r="K753" s="27" t="str">
        <f t="shared" si="77"/>
        <v>Survived</v>
      </c>
      <c r="L753" s="27" t="str">
        <f t="shared" si="78"/>
        <v>Child</v>
      </c>
      <c r="M753" s="28">
        <f t="shared" si="79"/>
        <v>2</v>
      </c>
      <c r="N753" s="27" t="str">
        <f t="shared" si="80"/>
        <v>Small Family</v>
      </c>
      <c r="O753" s="27" t="str">
        <f t="shared" si="81"/>
        <v>Low Fare</v>
      </c>
      <c r="P753" s="27" t="str">
        <f t="shared" si="82"/>
        <v>Third Class</v>
      </c>
      <c r="Q753" s="27">
        <f t="shared" si="83"/>
        <v>1</v>
      </c>
    </row>
    <row r="754" spans="1:17" x14ac:dyDescent="0.3">
      <c r="A754" s="15">
        <v>753</v>
      </c>
      <c r="B754" s="15">
        <v>0</v>
      </c>
      <c r="C754" s="15">
        <v>3</v>
      </c>
      <c r="D754" s="8" t="s">
        <v>1357</v>
      </c>
      <c r="E754" s="8" t="s">
        <v>11</v>
      </c>
      <c r="F754" s="24">
        <v>33</v>
      </c>
      <c r="G754" s="15">
        <v>0</v>
      </c>
      <c r="H754" s="15">
        <v>0</v>
      </c>
      <c r="I754" s="8" t="s">
        <v>1358</v>
      </c>
      <c r="J754" s="20">
        <v>9.5</v>
      </c>
      <c r="K754" s="27" t="str">
        <f t="shared" si="77"/>
        <v>Died</v>
      </c>
      <c r="L754" s="27" t="str">
        <f t="shared" si="78"/>
        <v>Young Adult</v>
      </c>
      <c r="M754" s="28">
        <f t="shared" si="79"/>
        <v>1</v>
      </c>
      <c r="N754" s="27" t="str">
        <f t="shared" si="80"/>
        <v>Alone</v>
      </c>
      <c r="O754" s="27" t="str">
        <f t="shared" si="81"/>
        <v>Low Fare</v>
      </c>
      <c r="P754" s="27" t="str">
        <f t="shared" si="82"/>
        <v>Third Class</v>
      </c>
      <c r="Q754" s="27">
        <f t="shared" si="83"/>
        <v>1</v>
      </c>
    </row>
    <row r="755" spans="1:17" x14ac:dyDescent="0.3">
      <c r="A755" s="16">
        <v>754</v>
      </c>
      <c r="B755" s="16">
        <v>0</v>
      </c>
      <c r="C755" s="16">
        <v>3</v>
      </c>
      <c r="D755" s="11" t="s">
        <v>1359</v>
      </c>
      <c r="E755" s="11" t="s">
        <v>11</v>
      </c>
      <c r="F755" s="25">
        <v>23</v>
      </c>
      <c r="G755" s="16">
        <v>0</v>
      </c>
      <c r="H755" s="16">
        <v>0</v>
      </c>
      <c r="I755" s="11" t="s">
        <v>1360</v>
      </c>
      <c r="J755" s="21">
        <v>7.8958000000000004</v>
      </c>
      <c r="K755" s="27" t="str">
        <f t="shared" si="77"/>
        <v>Died</v>
      </c>
      <c r="L755" s="27" t="str">
        <f t="shared" si="78"/>
        <v>Young Adult</v>
      </c>
      <c r="M755" s="28">
        <f t="shared" si="79"/>
        <v>1</v>
      </c>
      <c r="N755" s="27" t="str">
        <f t="shared" si="80"/>
        <v>Alone</v>
      </c>
      <c r="O755" s="27" t="str">
        <f t="shared" si="81"/>
        <v>Low Fare</v>
      </c>
      <c r="P755" s="27" t="str">
        <f t="shared" si="82"/>
        <v>Third Class</v>
      </c>
      <c r="Q755" s="27">
        <f t="shared" si="83"/>
        <v>1</v>
      </c>
    </row>
    <row r="756" spans="1:17" x14ac:dyDescent="0.3">
      <c r="A756" s="15">
        <v>755</v>
      </c>
      <c r="B756" s="15">
        <v>1</v>
      </c>
      <c r="C756" s="15">
        <v>2</v>
      </c>
      <c r="D756" s="8" t="s">
        <v>1361</v>
      </c>
      <c r="E756" s="8" t="s">
        <v>14</v>
      </c>
      <c r="F756" s="24">
        <v>48</v>
      </c>
      <c r="G756" s="15">
        <v>1</v>
      </c>
      <c r="H756" s="15">
        <v>2</v>
      </c>
      <c r="I756" s="8" t="s">
        <v>1131</v>
      </c>
      <c r="J756" s="20">
        <v>65</v>
      </c>
      <c r="K756" s="27" t="str">
        <f t="shared" si="77"/>
        <v>Survived</v>
      </c>
      <c r="L756" s="27" t="str">
        <f t="shared" si="78"/>
        <v>Adult</v>
      </c>
      <c r="M756" s="28">
        <f t="shared" si="79"/>
        <v>4</v>
      </c>
      <c r="N756" s="27" t="str">
        <f t="shared" si="80"/>
        <v>Small Family</v>
      </c>
      <c r="O756" s="27" t="str">
        <f t="shared" si="81"/>
        <v>Medium Fare</v>
      </c>
      <c r="P756" s="27" t="str">
        <f t="shared" si="82"/>
        <v>Second Class</v>
      </c>
      <c r="Q756" s="27">
        <f t="shared" si="83"/>
        <v>2</v>
      </c>
    </row>
    <row r="757" spans="1:17" x14ac:dyDescent="0.3">
      <c r="A757" s="16">
        <v>756</v>
      </c>
      <c r="B757" s="16">
        <v>1</v>
      </c>
      <c r="C757" s="16">
        <v>2</v>
      </c>
      <c r="D757" s="11" t="s">
        <v>1362</v>
      </c>
      <c r="E757" s="11" t="s">
        <v>11</v>
      </c>
      <c r="F757" s="25">
        <v>0.67</v>
      </c>
      <c r="G757" s="16">
        <v>1</v>
      </c>
      <c r="H757" s="16">
        <v>1</v>
      </c>
      <c r="I757" s="11" t="s">
        <v>481</v>
      </c>
      <c r="J757" s="21">
        <v>14.5</v>
      </c>
      <c r="K757" s="27" t="str">
        <f t="shared" si="77"/>
        <v>Survived</v>
      </c>
      <c r="L757" s="27" t="str">
        <f t="shared" si="78"/>
        <v>Child</v>
      </c>
      <c r="M757" s="28">
        <f t="shared" si="79"/>
        <v>3</v>
      </c>
      <c r="N757" s="27" t="str">
        <f t="shared" si="80"/>
        <v>Small Family</v>
      </c>
      <c r="O757" s="27" t="str">
        <f t="shared" si="81"/>
        <v>Low Fare</v>
      </c>
      <c r="P757" s="27" t="str">
        <f t="shared" si="82"/>
        <v>Second Class</v>
      </c>
      <c r="Q757" s="27">
        <f t="shared" si="83"/>
        <v>1</v>
      </c>
    </row>
    <row r="758" spans="1:17" x14ac:dyDescent="0.3">
      <c r="A758" s="15">
        <v>757</v>
      </c>
      <c r="B758" s="15">
        <v>0</v>
      </c>
      <c r="C758" s="15">
        <v>3</v>
      </c>
      <c r="D758" s="8" t="s">
        <v>1363</v>
      </c>
      <c r="E758" s="8" t="s">
        <v>11</v>
      </c>
      <c r="F758" s="24">
        <v>28</v>
      </c>
      <c r="G758" s="15">
        <v>0</v>
      </c>
      <c r="H758" s="15">
        <v>0</v>
      </c>
      <c r="I758" s="8" t="s">
        <v>1364</v>
      </c>
      <c r="J758" s="20">
        <v>7.7957999999999998</v>
      </c>
      <c r="K758" s="27" t="str">
        <f t="shared" si="77"/>
        <v>Died</v>
      </c>
      <c r="L758" s="27" t="str">
        <f t="shared" si="78"/>
        <v>Young Adult</v>
      </c>
      <c r="M758" s="28">
        <f t="shared" si="79"/>
        <v>1</v>
      </c>
      <c r="N758" s="27" t="str">
        <f t="shared" si="80"/>
        <v>Alone</v>
      </c>
      <c r="O758" s="27" t="str">
        <f t="shared" si="81"/>
        <v>Low Fare</v>
      </c>
      <c r="P758" s="27" t="str">
        <f t="shared" si="82"/>
        <v>Third Class</v>
      </c>
      <c r="Q758" s="27">
        <f t="shared" si="83"/>
        <v>1</v>
      </c>
    </row>
    <row r="759" spans="1:17" x14ac:dyDescent="0.3">
      <c r="A759" s="16">
        <v>758</v>
      </c>
      <c r="B759" s="16">
        <v>0</v>
      </c>
      <c r="C759" s="16">
        <v>2</v>
      </c>
      <c r="D759" s="11" t="s">
        <v>1365</v>
      </c>
      <c r="E759" s="11" t="s">
        <v>11</v>
      </c>
      <c r="F759" s="25">
        <v>18</v>
      </c>
      <c r="G759" s="16">
        <v>0</v>
      </c>
      <c r="H759" s="16">
        <v>0</v>
      </c>
      <c r="I759" s="11" t="s">
        <v>1366</v>
      </c>
      <c r="J759" s="21">
        <v>11.5</v>
      </c>
      <c r="K759" s="27" t="str">
        <f t="shared" si="77"/>
        <v>Died</v>
      </c>
      <c r="L759" s="27" t="str">
        <f t="shared" si="78"/>
        <v>Young Adult</v>
      </c>
      <c r="M759" s="28">
        <f t="shared" si="79"/>
        <v>1</v>
      </c>
      <c r="N759" s="27" t="str">
        <f t="shared" si="80"/>
        <v>Alone</v>
      </c>
      <c r="O759" s="27" t="str">
        <f t="shared" si="81"/>
        <v>Low Fare</v>
      </c>
      <c r="P759" s="27" t="str">
        <f t="shared" si="82"/>
        <v>Second Class</v>
      </c>
      <c r="Q759" s="27">
        <f t="shared" si="83"/>
        <v>1</v>
      </c>
    </row>
    <row r="760" spans="1:17" x14ac:dyDescent="0.3">
      <c r="A760" s="15">
        <v>759</v>
      </c>
      <c r="B760" s="15">
        <v>0</v>
      </c>
      <c r="C760" s="15">
        <v>3</v>
      </c>
      <c r="D760" s="8" t="s">
        <v>1367</v>
      </c>
      <c r="E760" s="8" t="s">
        <v>11</v>
      </c>
      <c r="F760" s="24">
        <v>34</v>
      </c>
      <c r="G760" s="15">
        <v>0</v>
      </c>
      <c r="H760" s="15">
        <v>0</v>
      </c>
      <c r="I760" s="8" t="s">
        <v>1368</v>
      </c>
      <c r="J760" s="20">
        <v>8.0500000000000007</v>
      </c>
      <c r="K760" s="27" t="str">
        <f t="shared" si="77"/>
        <v>Died</v>
      </c>
      <c r="L760" s="27" t="str">
        <f t="shared" si="78"/>
        <v>Young Adult</v>
      </c>
      <c r="M760" s="28">
        <f t="shared" si="79"/>
        <v>1</v>
      </c>
      <c r="N760" s="27" t="str">
        <f t="shared" si="80"/>
        <v>Alone</v>
      </c>
      <c r="O760" s="27" t="str">
        <f t="shared" si="81"/>
        <v>Low Fare</v>
      </c>
      <c r="P760" s="27" t="str">
        <f t="shared" si="82"/>
        <v>Third Class</v>
      </c>
      <c r="Q760" s="27">
        <f t="shared" si="83"/>
        <v>1</v>
      </c>
    </row>
    <row r="761" spans="1:17" x14ac:dyDescent="0.3">
      <c r="A761" s="16">
        <v>760</v>
      </c>
      <c r="B761" s="16">
        <v>1</v>
      </c>
      <c r="C761" s="16">
        <v>1</v>
      </c>
      <c r="D761" s="11" t="s">
        <v>1369</v>
      </c>
      <c r="E761" s="11" t="s">
        <v>14</v>
      </c>
      <c r="F761" s="25">
        <v>33</v>
      </c>
      <c r="G761" s="16">
        <v>0</v>
      </c>
      <c r="H761" s="16">
        <v>0</v>
      </c>
      <c r="I761" s="11" t="s">
        <v>500</v>
      </c>
      <c r="J761" s="21">
        <v>86.5</v>
      </c>
      <c r="K761" s="27" t="str">
        <f t="shared" si="77"/>
        <v>Survived</v>
      </c>
      <c r="L761" s="27" t="str">
        <f t="shared" si="78"/>
        <v>Young Adult</v>
      </c>
      <c r="M761" s="28">
        <f t="shared" si="79"/>
        <v>1</v>
      </c>
      <c r="N761" s="27" t="str">
        <f t="shared" si="80"/>
        <v>Alone</v>
      </c>
      <c r="O761" s="27" t="str">
        <f t="shared" si="81"/>
        <v>Medium Fare</v>
      </c>
      <c r="P761" s="27" t="str">
        <f t="shared" si="82"/>
        <v>First Class</v>
      </c>
      <c r="Q761" s="27">
        <f t="shared" si="83"/>
        <v>2</v>
      </c>
    </row>
    <row r="762" spans="1:17" x14ac:dyDescent="0.3">
      <c r="A762" s="15">
        <v>761</v>
      </c>
      <c r="B762" s="15">
        <v>0</v>
      </c>
      <c r="C762" s="15">
        <v>3</v>
      </c>
      <c r="D762" s="8" t="s">
        <v>1370</v>
      </c>
      <c r="E762" s="8" t="s">
        <v>11</v>
      </c>
      <c r="F762" s="24">
        <v>26</v>
      </c>
      <c r="G762" s="15">
        <v>0</v>
      </c>
      <c r="H762" s="15">
        <v>0</v>
      </c>
      <c r="I762" s="8" t="s">
        <v>1064</v>
      </c>
      <c r="J762" s="20">
        <v>14.5</v>
      </c>
      <c r="K762" s="27" t="str">
        <f t="shared" si="77"/>
        <v>Died</v>
      </c>
      <c r="L762" s="27" t="str">
        <f t="shared" si="78"/>
        <v>Young Adult</v>
      </c>
      <c r="M762" s="28">
        <f t="shared" si="79"/>
        <v>1</v>
      </c>
      <c r="N762" s="27" t="str">
        <f t="shared" si="80"/>
        <v>Alone</v>
      </c>
      <c r="O762" s="27" t="str">
        <f t="shared" si="81"/>
        <v>Low Fare</v>
      </c>
      <c r="P762" s="27" t="str">
        <f t="shared" si="82"/>
        <v>Third Class</v>
      </c>
      <c r="Q762" s="27">
        <f t="shared" si="83"/>
        <v>1</v>
      </c>
    </row>
    <row r="763" spans="1:17" x14ac:dyDescent="0.3">
      <c r="A763" s="16">
        <v>762</v>
      </c>
      <c r="B763" s="16">
        <v>0</v>
      </c>
      <c r="C763" s="16">
        <v>3</v>
      </c>
      <c r="D763" s="11" t="s">
        <v>1371</v>
      </c>
      <c r="E763" s="11" t="s">
        <v>11</v>
      </c>
      <c r="F763" s="25">
        <v>41</v>
      </c>
      <c r="G763" s="16">
        <v>0</v>
      </c>
      <c r="H763" s="16">
        <v>0</v>
      </c>
      <c r="I763" s="11" t="s">
        <v>1372</v>
      </c>
      <c r="J763" s="21">
        <v>7.125</v>
      </c>
      <c r="K763" s="27" t="str">
        <f t="shared" si="77"/>
        <v>Died</v>
      </c>
      <c r="L763" s="27" t="str">
        <f t="shared" si="78"/>
        <v>Adult</v>
      </c>
      <c r="M763" s="28">
        <f t="shared" si="79"/>
        <v>1</v>
      </c>
      <c r="N763" s="27" t="str">
        <f t="shared" si="80"/>
        <v>Alone</v>
      </c>
      <c r="O763" s="27" t="str">
        <f t="shared" si="81"/>
        <v>Low Fare</v>
      </c>
      <c r="P763" s="27" t="str">
        <f t="shared" si="82"/>
        <v>Third Class</v>
      </c>
      <c r="Q763" s="27">
        <f t="shared" si="83"/>
        <v>1</v>
      </c>
    </row>
    <row r="764" spans="1:17" x14ac:dyDescent="0.3">
      <c r="A764" s="15">
        <v>763</v>
      </c>
      <c r="B764" s="15">
        <v>1</v>
      </c>
      <c r="C764" s="15">
        <v>3</v>
      </c>
      <c r="D764" s="8" t="s">
        <v>1373</v>
      </c>
      <c r="E764" s="8" t="s">
        <v>11</v>
      </c>
      <c r="F764" s="24">
        <v>20</v>
      </c>
      <c r="G764" s="15">
        <v>0</v>
      </c>
      <c r="H764" s="15">
        <v>0</v>
      </c>
      <c r="I764" s="8" t="s">
        <v>1374</v>
      </c>
      <c r="J764" s="20">
        <v>7.2291999999999996</v>
      </c>
      <c r="K764" s="27" t="str">
        <f t="shared" si="77"/>
        <v>Survived</v>
      </c>
      <c r="L764" s="27" t="str">
        <f t="shared" si="78"/>
        <v>Young Adult</v>
      </c>
      <c r="M764" s="28">
        <f t="shared" si="79"/>
        <v>1</v>
      </c>
      <c r="N764" s="27" t="str">
        <f t="shared" si="80"/>
        <v>Alone</v>
      </c>
      <c r="O764" s="27" t="str">
        <f t="shared" si="81"/>
        <v>Low Fare</v>
      </c>
      <c r="P764" s="27" t="str">
        <f t="shared" si="82"/>
        <v>Third Class</v>
      </c>
      <c r="Q764" s="27">
        <f t="shared" si="83"/>
        <v>1</v>
      </c>
    </row>
    <row r="765" spans="1:17" x14ac:dyDescent="0.3">
      <c r="A765" s="16">
        <v>764</v>
      </c>
      <c r="B765" s="16">
        <v>1</v>
      </c>
      <c r="C765" s="16">
        <v>1</v>
      </c>
      <c r="D765" s="11" t="s">
        <v>1375</v>
      </c>
      <c r="E765" s="11" t="s">
        <v>14</v>
      </c>
      <c r="F765" s="25">
        <v>36</v>
      </c>
      <c r="G765" s="16">
        <v>1</v>
      </c>
      <c r="H765" s="16">
        <v>2</v>
      </c>
      <c r="I765" s="11" t="s">
        <v>737</v>
      </c>
      <c r="J765" s="21">
        <v>120</v>
      </c>
      <c r="K765" s="27" t="str">
        <f t="shared" si="77"/>
        <v>Survived</v>
      </c>
      <c r="L765" s="27" t="str">
        <f t="shared" si="78"/>
        <v>Adult</v>
      </c>
      <c r="M765" s="28">
        <f t="shared" si="79"/>
        <v>4</v>
      </c>
      <c r="N765" s="27" t="str">
        <f t="shared" si="80"/>
        <v>Small Family</v>
      </c>
      <c r="O765" s="27" t="str">
        <f t="shared" si="81"/>
        <v>High Fare</v>
      </c>
      <c r="P765" s="27" t="str">
        <f t="shared" si="82"/>
        <v>First Class</v>
      </c>
      <c r="Q765" s="27">
        <f t="shared" si="83"/>
        <v>2</v>
      </c>
    </row>
    <row r="766" spans="1:17" x14ac:dyDescent="0.3">
      <c r="A766" s="15">
        <v>765</v>
      </c>
      <c r="B766" s="15">
        <v>0</v>
      </c>
      <c r="C766" s="15">
        <v>3</v>
      </c>
      <c r="D766" s="8" t="s">
        <v>1376</v>
      </c>
      <c r="E766" s="8" t="s">
        <v>11</v>
      </c>
      <c r="F766" s="24">
        <v>16</v>
      </c>
      <c r="G766" s="15">
        <v>0</v>
      </c>
      <c r="H766" s="15">
        <v>0</v>
      </c>
      <c r="I766" s="8" t="s">
        <v>1377</v>
      </c>
      <c r="J766" s="20">
        <v>7.7750000000000004</v>
      </c>
      <c r="K766" s="27" t="str">
        <f t="shared" si="77"/>
        <v>Died</v>
      </c>
      <c r="L766" s="27" t="str">
        <f t="shared" si="78"/>
        <v>Child</v>
      </c>
      <c r="M766" s="28">
        <f t="shared" si="79"/>
        <v>1</v>
      </c>
      <c r="N766" s="27" t="str">
        <f t="shared" si="80"/>
        <v>Alone</v>
      </c>
      <c r="O766" s="27" t="str">
        <f t="shared" si="81"/>
        <v>Low Fare</v>
      </c>
      <c r="P766" s="27" t="str">
        <f t="shared" si="82"/>
        <v>Third Class</v>
      </c>
      <c r="Q766" s="27">
        <f t="shared" si="83"/>
        <v>1</v>
      </c>
    </row>
    <row r="767" spans="1:17" x14ac:dyDescent="0.3">
      <c r="A767" s="16">
        <v>766</v>
      </c>
      <c r="B767" s="16">
        <v>1</v>
      </c>
      <c r="C767" s="16">
        <v>1</v>
      </c>
      <c r="D767" s="11" t="s">
        <v>1378</v>
      </c>
      <c r="E767" s="11" t="s">
        <v>14</v>
      </c>
      <c r="F767" s="25">
        <v>51</v>
      </c>
      <c r="G767" s="16">
        <v>1</v>
      </c>
      <c r="H767" s="16">
        <v>0</v>
      </c>
      <c r="I767" s="11" t="s">
        <v>533</v>
      </c>
      <c r="J767" s="21">
        <v>77.958299999999994</v>
      </c>
      <c r="K767" s="27" t="str">
        <f t="shared" si="77"/>
        <v>Survived</v>
      </c>
      <c r="L767" s="27" t="str">
        <f t="shared" si="78"/>
        <v>Adult</v>
      </c>
      <c r="M767" s="28">
        <f t="shared" si="79"/>
        <v>2</v>
      </c>
      <c r="N767" s="27" t="str">
        <f t="shared" si="80"/>
        <v>Small Family</v>
      </c>
      <c r="O767" s="27" t="str">
        <f t="shared" si="81"/>
        <v>Medium Fare</v>
      </c>
      <c r="P767" s="27" t="str">
        <f t="shared" si="82"/>
        <v>First Class</v>
      </c>
      <c r="Q767" s="27">
        <f t="shared" si="83"/>
        <v>2</v>
      </c>
    </row>
    <row r="768" spans="1:17" x14ac:dyDescent="0.3">
      <c r="A768" s="15">
        <v>767</v>
      </c>
      <c r="B768" s="15">
        <v>0</v>
      </c>
      <c r="C768" s="15">
        <v>1</v>
      </c>
      <c r="D768" s="8" t="s">
        <v>1379</v>
      </c>
      <c r="E768" s="8" t="s">
        <v>11</v>
      </c>
      <c r="F768" s="24">
        <v>26</v>
      </c>
      <c r="G768" s="15">
        <v>0</v>
      </c>
      <c r="H768" s="15">
        <v>0</v>
      </c>
      <c r="I768" s="8" t="s">
        <v>1380</v>
      </c>
      <c r="J768" s="20">
        <v>39.6</v>
      </c>
      <c r="K768" s="27" t="str">
        <f t="shared" si="77"/>
        <v>Died</v>
      </c>
      <c r="L768" s="27" t="str">
        <f t="shared" si="78"/>
        <v>Young Adult</v>
      </c>
      <c r="M768" s="28">
        <f t="shared" si="79"/>
        <v>1</v>
      </c>
      <c r="N768" s="27" t="str">
        <f t="shared" si="80"/>
        <v>Alone</v>
      </c>
      <c r="O768" s="27" t="str">
        <f t="shared" si="81"/>
        <v>Medium Fare</v>
      </c>
      <c r="P768" s="27" t="str">
        <f t="shared" si="82"/>
        <v>First Class</v>
      </c>
      <c r="Q768" s="27">
        <f t="shared" si="83"/>
        <v>1</v>
      </c>
    </row>
    <row r="769" spans="1:17" x14ac:dyDescent="0.3">
      <c r="A769" s="16">
        <v>768</v>
      </c>
      <c r="B769" s="16">
        <v>0</v>
      </c>
      <c r="C769" s="16">
        <v>3</v>
      </c>
      <c r="D769" s="11" t="s">
        <v>1381</v>
      </c>
      <c r="E769" s="11" t="s">
        <v>14</v>
      </c>
      <c r="F769" s="25">
        <v>30.5</v>
      </c>
      <c r="G769" s="16">
        <v>0</v>
      </c>
      <c r="H769" s="16">
        <v>0</v>
      </c>
      <c r="I769" s="11" t="s">
        <v>1382</v>
      </c>
      <c r="J769" s="21">
        <v>7.75</v>
      </c>
      <c r="K769" s="27" t="str">
        <f t="shared" si="77"/>
        <v>Died</v>
      </c>
      <c r="L769" s="27" t="str">
        <f t="shared" si="78"/>
        <v>Young Adult</v>
      </c>
      <c r="M769" s="28">
        <f t="shared" si="79"/>
        <v>1</v>
      </c>
      <c r="N769" s="27" t="str">
        <f t="shared" si="80"/>
        <v>Alone</v>
      </c>
      <c r="O769" s="27" t="str">
        <f t="shared" si="81"/>
        <v>Low Fare</v>
      </c>
      <c r="P769" s="27" t="str">
        <f t="shared" si="82"/>
        <v>Third Class</v>
      </c>
      <c r="Q769" s="27">
        <f t="shared" si="83"/>
        <v>2</v>
      </c>
    </row>
    <row r="770" spans="1:17" x14ac:dyDescent="0.3">
      <c r="A770" s="15">
        <v>769</v>
      </c>
      <c r="B770" s="15">
        <v>0</v>
      </c>
      <c r="C770" s="15">
        <v>3</v>
      </c>
      <c r="D770" s="8" t="s">
        <v>1383</v>
      </c>
      <c r="E770" s="8" t="s">
        <v>11</v>
      </c>
      <c r="F770" s="24">
        <v>26</v>
      </c>
      <c r="G770" s="15">
        <v>1</v>
      </c>
      <c r="H770" s="15">
        <v>0</v>
      </c>
      <c r="I770" s="8" t="s">
        <v>228</v>
      </c>
      <c r="J770" s="20">
        <v>24.15</v>
      </c>
      <c r="K770" s="27" t="str">
        <f t="shared" ref="K770:K833" si="84">IF(B770=1, "Survived", "Died")</f>
        <v>Died</v>
      </c>
      <c r="L770" s="27" t="str">
        <f t="shared" ref="L770:L833" si="85">IF(F770&lt;18, "Child", IF(F770&lt;35, "Young Adult", IF(F770&lt;60, "Adult", "Senior")))</f>
        <v>Young Adult</v>
      </c>
      <c r="M770" s="28">
        <f t="shared" ref="M770:M833" si="86">G770+H770+1</f>
        <v>2</v>
      </c>
      <c r="N770" s="27" t="str">
        <f t="shared" ref="N770:N833" si="87">IF(M770=1,"Alone",IF(M770&lt;=4,"Small Family","Large Family"))</f>
        <v>Small Family</v>
      </c>
      <c r="O770" s="27" t="str">
        <f t="shared" ref="O770:O833" si="88">IF(J770&lt;25, "Low Fare", IF(J770&lt;=100, "Medium Fare", "High Fare"))</f>
        <v>Low Fare</v>
      </c>
      <c r="P770" s="27" t="str">
        <f t="shared" ref="P770:P833" si="89">IF(C770=1, "First Class", IF(C770=2, "Second Class", "Third Class"))</f>
        <v>Third Class</v>
      </c>
      <c r="Q770" s="27">
        <f t="shared" ref="Q770:Q833" si="90">IF(E770="male", 1, 2)</f>
        <v>1</v>
      </c>
    </row>
    <row r="771" spans="1:17" x14ac:dyDescent="0.3">
      <c r="A771" s="16">
        <v>770</v>
      </c>
      <c r="B771" s="16">
        <v>0</v>
      </c>
      <c r="C771" s="16">
        <v>3</v>
      </c>
      <c r="D771" s="11" t="s">
        <v>1384</v>
      </c>
      <c r="E771" s="11" t="s">
        <v>11</v>
      </c>
      <c r="F771" s="25">
        <v>32</v>
      </c>
      <c r="G771" s="16">
        <v>0</v>
      </c>
      <c r="H771" s="16">
        <v>0</v>
      </c>
      <c r="I771" s="11" t="s">
        <v>1385</v>
      </c>
      <c r="J771" s="21">
        <v>8.3625000000000007</v>
      </c>
      <c r="K771" s="27" t="str">
        <f t="shared" si="84"/>
        <v>Died</v>
      </c>
      <c r="L771" s="27" t="str">
        <f t="shared" si="85"/>
        <v>Young Adult</v>
      </c>
      <c r="M771" s="28">
        <f t="shared" si="86"/>
        <v>1</v>
      </c>
      <c r="N771" s="27" t="str">
        <f t="shared" si="87"/>
        <v>Alone</v>
      </c>
      <c r="O771" s="27" t="str">
        <f t="shared" si="88"/>
        <v>Low Fare</v>
      </c>
      <c r="P771" s="27" t="str">
        <f t="shared" si="89"/>
        <v>Third Class</v>
      </c>
      <c r="Q771" s="27">
        <f t="shared" si="90"/>
        <v>1</v>
      </c>
    </row>
    <row r="772" spans="1:17" x14ac:dyDescent="0.3">
      <c r="A772" s="15">
        <v>771</v>
      </c>
      <c r="B772" s="15">
        <v>0</v>
      </c>
      <c r="C772" s="15">
        <v>3</v>
      </c>
      <c r="D772" s="8" t="s">
        <v>1386</v>
      </c>
      <c r="E772" s="8" t="s">
        <v>11</v>
      </c>
      <c r="F772" s="24">
        <v>24</v>
      </c>
      <c r="G772" s="15">
        <v>0</v>
      </c>
      <c r="H772" s="15">
        <v>0</v>
      </c>
      <c r="I772" s="8" t="s">
        <v>1387</v>
      </c>
      <c r="J772" s="20">
        <v>9.5</v>
      </c>
      <c r="K772" s="27" t="str">
        <f t="shared" si="84"/>
        <v>Died</v>
      </c>
      <c r="L772" s="27" t="str">
        <f t="shared" si="85"/>
        <v>Young Adult</v>
      </c>
      <c r="M772" s="28">
        <f t="shared" si="86"/>
        <v>1</v>
      </c>
      <c r="N772" s="27" t="str">
        <f t="shared" si="87"/>
        <v>Alone</v>
      </c>
      <c r="O772" s="27" t="str">
        <f t="shared" si="88"/>
        <v>Low Fare</v>
      </c>
      <c r="P772" s="27" t="str">
        <f t="shared" si="89"/>
        <v>Third Class</v>
      </c>
      <c r="Q772" s="27">
        <f t="shared" si="90"/>
        <v>1</v>
      </c>
    </row>
    <row r="773" spans="1:17" x14ac:dyDescent="0.3">
      <c r="A773" s="16">
        <v>772</v>
      </c>
      <c r="B773" s="16">
        <v>0</v>
      </c>
      <c r="C773" s="16">
        <v>3</v>
      </c>
      <c r="D773" s="11" t="s">
        <v>1388</v>
      </c>
      <c r="E773" s="11" t="s">
        <v>11</v>
      </c>
      <c r="F773" s="25">
        <v>48</v>
      </c>
      <c r="G773" s="16">
        <v>0</v>
      </c>
      <c r="H773" s="16">
        <v>0</v>
      </c>
      <c r="I773" s="11" t="s">
        <v>1389</v>
      </c>
      <c r="J773" s="21">
        <v>7.8541999999999996</v>
      </c>
      <c r="K773" s="27" t="str">
        <f t="shared" si="84"/>
        <v>Died</v>
      </c>
      <c r="L773" s="27" t="str">
        <f t="shared" si="85"/>
        <v>Adult</v>
      </c>
      <c r="M773" s="28">
        <f t="shared" si="86"/>
        <v>1</v>
      </c>
      <c r="N773" s="27" t="str">
        <f t="shared" si="87"/>
        <v>Alone</v>
      </c>
      <c r="O773" s="27" t="str">
        <f t="shared" si="88"/>
        <v>Low Fare</v>
      </c>
      <c r="P773" s="27" t="str">
        <f t="shared" si="89"/>
        <v>Third Class</v>
      </c>
      <c r="Q773" s="27">
        <f t="shared" si="90"/>
        <v>1</v>
      </c>
    </row>
    <row r="774" spans="1:17" x14ac:dyDescent="0.3">
      <c r="A774" s="15">
        <v>773</v>
      </c>
      <c r="B774" s="15">
        <v>0</v>
      </c>
      <c r="C774" s="15">
        <v>2</v>
      </c>
      <c r="D774" s="8" t="s">
        <v>1390</v>
      </c>
      <c r="E774" s="8" t="s">
        <v>14</v>
      </c>
      <c r="F774" s="24">
        <v>57</v>
      </c>
      <c r="G774" s="15">
        <v>0</v>
      </c>
      <c r="H774" s="15">
        <v>0</v>
      </c>
      <c r="I774" s="8" t="s">
        <v>1391</v>
      </c>
      <c r="J774" s="20">
        <v>10.5</v>
      </c>
      <c r="K774" s="27" t="str">
        <f t="shared" si="84"/>
        <v>Died</v>
      </c>
      <c r="L774" s="27" t="str">
        <f t="shared" si="85"/>
        <v>Adult</v>
      </c>
      <c r="M774" s="28">
        <f t="shared" si="86"/>
        <v>1</v>
      </c>
      <c r="N774" s="27" t="str">
        <f t="shared" si="87"/>
        <v>Alone</v>
      </c>
      <c r="O774" s="27" t="str">
        <f t="shared" si="88"/>
        <v>Low Fare</v>
      </c>
      <c r="P774" s="27" t="str">
        <f t="shared" si="89"/>
        <v>Second Class</v>
      </c>
      <c r="Q774" s="27">
        <f t="shared" si="90"/>
        <v>2</v>
      </c>
    </row>
    <row r="775" spans="1:17" x14ac:dyDescent="0.3">
      <c r="A775" s="16">
        <v>774</v>
      </c>
      <c r="B775" s="16">
        <v>0</v>
      </c>
      <c r="C775" s="16">
        <v>3</v>
      </c>
      <c r="D775" s="11" t="s">
        <v>1392</v>
      </c>
      <c r="E775" s="11" t="s">
        <v>11</v>
      </c>
      <c r="F775" s="25">
        <v>26</v>
      </c>
      <c r="G775" s="16">
        <v>0</v>
      </c>
      <c r="H775" s="16">
        <v>0</v>
      </c>
      <c r="I775" s="11" t="s">
        <v>1393</v>
      </c>
      <c r="J775" s="21">
        <v>7.2249999999999996</v>
      </c>
      <c r="K775" s="27" t="str">
        <f t="shared" si="84"/>
        <v>Died</v>
      </c>
      <c r="L775" s="27" t="str">
        <f t="shared" si="85"/>
        <v>Young Adult</v>
      </c>
      <c r="M775" s="28">
        <f t="shared" si="86"/>
        <v>1</v>
      </c>
      <c r="N775" s="27" t="str">
        <f t="shared" si="87"/>
        <v>Alone</v>
      </c>
      <c r="O775" s="27" t="str">
        <f t="shared" si="88"/>
        <v>Low Fare</v>
      </c>
      <c r="P775" s="27" t="str">
        <f t="shared" si="89"/>
        <v>Third Class</v>
      </c>
      <c r="Q775" s="27">
        <f t="shared" si="90"/>
        <v>1</v>
      </c>
    </row>
    <row r="776" spans="1:17" x14ac:dyDescent="0.3">
      <c r="A776" s="15">
        <v>775</v>
      </c>
      <c r="B776" s="15">
        <v>1</v>
      </c>
      <c r="C776" s="15">
        <v>2</v>
      </c>
      <c r="D776" s="8" t="s">
        <v>1394</v>
      </c>
      <c r="E776" s="8" t="s">
        <v>14</v>
      </c>
      <c r="F776" s="24">
        <v>54</v>
      </c>
      <c r="G776" s="15">
        <v>1</v>
      </c>
      <c r="H776" s="15">
        <v>3</v>
      </c>
      <c r="I776" s="8" t="s">
        <v>1395</v>
      </c>
      <c r="J776" s="20">
        <v>23</v>
      </c>
      <c r="K776" s="27" t="str">
        <f t="shared" si="84"/>
        <v>Survived</v>
      </c>
      <c r="L776" s="27" t="str">
        <f t="shared" si="85"/>
        <v>Adult</v>
      </c>
      <c r="M776" s="28">
        <f t="shared" si="86"/>
        <v>5</v>
      </c>
      <c r="N776" s="27" t="str">
        <f t="shared" si="87"/>
        <v>Large Family</v>
      </c>
      <c r="O776" s="27" t="str">
        <f t="shared" si="88"/>
        <v>Low Fare</v>
      </c>
      <c r="P776" s="27" t="str">
        <f t="shared" si="89"/>
        <v>Second Class</v>
      </c>
      <c r="Q776" s="27">
        <f t="shared" si="90"/>
        <v>2</v>
      </c>
    </row>
    <row r="777" spans="1:17" x14ac:dyDescent="0.3">
      <c r="A777" s="16">
        <v>776</v>
      </c>
      <c r="B777" s="16">
        <v>0</v>
      </c>
      <c r="C777" s="16">
        <v>3</v>
      </c>
      <c r="D777" s="11" t="s">
        <v>1396</v>
      </c>
      <c r="E777" s="11" t="s">
        <v>11</v>
      </c>
      <c r="F777" s="25">
        <v>18</v>
      </c>
      <c r="G777" s="16">
        <v>0</v>
      </c>
      <c r="H777" s="16">
        <v>0</v>
      </c>
      <c r="I777" s="11" t="s">
        <v>1397</v>
      </c>
      <c r="J777" s="21">
        <v>7.75</v>
      </c>
      <c r="K777" s="27" t="str">
        <f t="shared" si="84"/>
        <v>Died</v>
      </c>
      <c r="L777" s="27" t="str">
        <f t="shared" si="85"/>
        <v>Young Adult</v>
      </c>
      <c r="M777" s="28">
        <f t="shared" si="86"/>
        <v>1</v>
      </c>
      <c r="N777" s="27" t="str">
        <f t="shared" si="87"/>
        <v>Alone</v>
      </c>
      <c r="O777" s="27" t="str">
        <f t="shared" si="88"/>
        <v>Low Fare</v>
      </c>
      <c r="P777" s="27" t="str">
        <f t="shared" si="89"/>
        <v>Third Class</v>
      </c>
      <c r="Q777" s="27">
        <f t="shared" si="90"/>
        <v>1</v>
      </c>
    </row>
    <row r="778" spans="1:17" x14ac:dyDescent="0.3">
      <c r="A778" s="15">
        <v>777</v>
      </c>
      <c r="B778" s="15">
        <v>0</v>
      </c>
      <c r="C778" s="15">
        <v>3</v>
      </c>
      <c r="D778" s="8" t="s">
        <v>1398</v>
      </c>
      <c r="E778" s="8" t="s">
        <v>11</v>
      </c>
      <c r="F778" s="24">
        <v>26</v>
      </c>
      <c r="G778" s="15">
        <v>0</v>
      </c>
      <c r="H778" s="15">
        <v>0</v>
      </c>
      <c r="I778" s="8" t="s">
        <v>1399</v>
      </c>
      <c r="J778" s="20">
        <v>7.75</v>
      </c>
      <c r="K778" s="27" t="str">
        <f t="shared" si="84"/>
        <v>Died</v>
      </c>
      <c r="L778" s="27" t="str">
        <f t="shared" si="85"/>
        <v>Young Adult</v>
      </c>
      <c r="M778" s="28">
        <f t="shared" si="86"/>
        <v>1</v>
      </c>
      <c r="N778" s="27" t="str">
        <f t="shared" si="87"/>
        <v>Alone</v>
      </c>
      <c r="O778" s="27" t="str">
        <f t="shared" si="88"/>
        <v>Low Fare</v>
      </c>
      <c r="P778" s="27" t="str">
        <f t="shared" si="89"/>
        <v>Third Class</v>
      </c>
      <c r="Q778" s="27">
        <f t="shared" si="90"/>
        <v>1</v>
      </c>
    </row>
    <row r="779" spans="1:17" x14ac:dyDescent="0.3">
      <c r="A779" s="16">
        <v>778</v>
      </c>
      <c r="B779" s="16">
        <v>1</v>
      </c>
      <c r="C779" s="16">
        <v>3</v>
      </c>
      <c r="D779" s="11" t="s">
        <v>1400</v>
      </c>
      <c r="E779" s="11" t="s">
        <v>14</v>
      </c>
      <c r="F779" s="25">
        <v>5</v>
      </c>
      <c r="G779" s="16">
        <v>0</v>
      </c>
      <c r="H779" s="16">
        <v>0</v>
      </c>
      <c r="I779" s="11" t="s">
        <v>169</v>
      </c>
      <c r="J779" s="21">
        <v>12.475</v>
      </c>
      <c r="K779" s="27" t="str">
        <f t="shared" si="84"/>
        <v>Survived</v>
      </c>
      <c r="L779" s="27" t="str">
        <f t="shared" si="85"/>
        <v>Child</v>
      </c>
      <c r="M779" s="28">
        <f t="shared" si="86"/>
        <v>1</v>
      </c>
      <c r="N779" s="27" t="str">
        <f t="shared" si="87"/>
        <v>Alone</v>
      </c>
      <c r="O779" s="27" t="str">
        <f t="shared" si="88"/>
        <v>Low Fare</v>
      </c>
      <c r="P779" s="27" t="str">
        <f t="shared" si="89"/>
        <v>Third Class</v>
      </c>
      <c r="Q779" s="27">
        <f t="shared" si="90"/>
        <v>2</v>
      </c>
    </row>
    <row r="780" spans="1:17" x14ac:dyDescent="0.3">
      <c r="A780" s="15">
        <v>779</v>
      </c>
      <c r="B780" s="15">
        <v>0</v>
      </c>
      <c r="C780" s="15">
        <v>3</v>
      </c>
      <c r="D780" s="8" t="s">
        <v>1401</v>
      </c>
      <c r="E780" s="8" t="s">
        <v>11</v>
      </c>
      <c r="F780" s="24">
        <v>26</v>
      </c>
      <c r="G780" s="15">
        <v>0</v>
      </c>
      <c r="H780" s="15">
        <v>0</v>
      </c>
      <c r="I780" s="8" t="s">
        <v>1402</v>
      </c>
      <c r="J780" s="20">
        <v>7.7374999999999998</v>
      </c>
      <c r="K780" s="27" t="str">
        <f t="shared" si="84"/>
        <v>Died</v>
      </c>
      <c r="L780" s="27" t="str">
        <f t="shared" si="85"/>
        <v>Young Adult</v>
      </c>
      <c r="M780" s="28">
        <f t="shared" si="86"/>
        <v>1</v>
      </c>
      <c r="N780" s="27" t="str">
        <f t="shared" si="87"/>
        <v>Alone</v>
      </c>
      <c r="O780" s="27" t="str">
        <f t="shared" si="88"/>
        <v>Low Fare</v>
      </c>
      <c r="P780" s="27" t="str">
        <f t="shared" si="89"/>
        <v>Third Class</v>
      </c>
      <c r="Q780" s="27">
        <f t="shared" si="90"/>
        <v>1</v>
      </c>
    </row>
    <row r="781" spans="1:17" x14ac:dyDescent="0.3">
      <c r="A781" s="16">
        <v>780</v>
      </c>
      <c r="B781" s="16">
        <v>1</v>
      </c>
      <c r="C781" s="16">
        <v>1</v>
      </c>
      <c r="D781" s="11" t="s">
        <v>1403</v>
      </c>
      <c r="E781" s="11" t="s">
        <v>14</v>
      </c>
      <c r="F781" s="25">
        <v>43</v>
      </c>
      <c r="G781" s="16">
        <v>0</v>
      </c>
      <c r="H781" s="16">
        <v>1</v>
      </c>
      <c r="I781" s="11" t="s">
        <v>1252</v>
      </c>
      <c r="J781" s="21">
        <v>211.33750000000001</v>
      </c>
      <c r="K781" s="27" t="str">
        <f t="shared" si="84"/>
        <v>Survived</v>
      </c>
      <c r="L781" s="27" t="str">
        <f t="shared" si="85"/>
        <v>Adult</v>
      </c>
      <c r="M781" s="28">
        <f t="shared" si="86"/>
        <v>2</v>
      </c>
      <c r="N781" s="27" t="str">
        <f t="shared" si="87"/>
        <v>Small Family</v>
      </c>
      <c r="O781" s="27" t="str">
        <f t="shared" si="88"/>
        <v>High Fare</v>
      </c>
      <c r="P781" s="27" t="str">
        <f t="shared" si="89"/>
        <v>First Class</v>
      </c>
      <c r="Q781" s="27">
        <f t="shared" si="90"/>
        <v>2</v>
      </c>
    </row>
    <row r="782" spans="1:17" x14ac:dyDescent="0.3">
      <c r="A782" s="15">
        <v>781</v>
      </c>
      <c r="B782" s="15">
        <v>1</v>
      </c>
      <c r="C782" s="15">
        <v>3</v>
      </c>
      <c r="D782" s="8" t="s">
        <v>1404</v>
      </c>
      <c r="E782" s="8" t="s">
        <v>14</v>
      </c>
      <c r="F782" s="24">
        <v>13</v>
      </c>
      <c r="G782" s="15">
        <v>0</v>
      </c>
      <c r="H782" s="15">
        <v>0</v>
      </c>
      <c r="I782" s="8" t="s">
        <v>1405</v>
      </c>
      <c r="J782" s="20">
        <v>7.2291999999999996</v>
      </c>
      <c r="K782" s="27" t="str">
        <f t="shared" si="84"/>
        <v>Survived</v>
      </c>
      <c r="L782" s="27" t="str">
        <f t="shared" si="85"/>
        <v>Child</v>
      </c>
      <c r="M782" s="28">
        <f t="shared" si="86"/>
        <v>1</v>
      </c>
      <c r="N782" s="27" t="str">
        <f t="shared" si="87"/>
        <v>Alone</v>
      </c>
      <c r="O782" s="27" t="str">
        <f t="shared" si="88"/>
        <v>Low Fare</v>
      </c>
      <c r="P782" s="27" t="str">
        <f t="shared" si="89"/>
        <v>Third Class</v>
      </c>
      <c r="Q782" s="27">
        <f t="shared" si="90"/>
        <v>2</v>
      </c>
    </row>
    <row r="783" spans="1:17" x14ac:dyDescent="0.3">
      <c r="A783" s="16">
        <v>782</v>
      </c>
      <c r="B783" s="16">
        <v>1</v>
      </c>
      <c r="C783" s="16">
        <v>1</v>
      </c>
      <c r="D783" s="11" t="s">
        <v>1406</v>
      </c>
      <c r="E783" s="11" t="s">
        <v>14</v>
      </c>
      <c r="F783" s="25">
        <v>17</v>
      </c>
      <c r="G783" s="16">
        <v>1</v>
      </c>
      <c r="H783" s="16">
        <v>0</v>
      </c>
      <c r="I783" s="11" t="s">
        <v>1254</v>
      </c>
      <c r="J783" s="21">
        <v>57</v>
      </c>
      <c r="K783" s="27" t="str">
        <f t="shared" si="84"/>
        <v>Survived</v>
      </c>
      <c r="L783" s="27" t="str">
        <f t="shared" si="85"/>
        <v>Child</v>
      </c>
      <c r="M783" s="28">
        <f t="shared" si="86"/>
        <v>2</v>
      </c>
      <c r="N783" s="27" t="str">
        <f t="shared" si="87"/>
        <v>Small Family</v>
      </c>
      <c r="O783" s="27" t="str">
        <f t="shared" si="88"/>
        <v>Medium Fare</v>
      </c>
      <c r="P783" s="27" t="str">
        <f t="shared" si="89"/>
        <v>First Class</v>
      </c>
      <c r="Q783" s="27">
        <f t="shared" si="90"/>
        <v>2</v>
      </c>
    </row>
    <row r="784" spans="1:17" x14ac:dyDescent="0.3">
      <c r="A784" s="15">
        <v>783</v>
      </c>
      <c r="B784" s="15">
        <v>0</v>
      </c>
      <c r="C784" s="15">
        <v>1</v>
      </c>
      <c r="D784" s="8" t="s">
        <v>1407</v>
      </c>
      <c r="E784" s="8" t="s">
        <v>11</v>
      </c>
      <c r="F784" s="24">
        <v>29</v>
      </c>
      <c r="G784" s="15">
        <v>0</v>
      </c>
      <c r="H784" s="15">
        <v>0</v>
      </c>
      <c r="I784" s="8" t="s">
        <v>1408</v>
      </c>
      <c r="J784" s="20">
        <v>30</v>
      </c>
      <c r="K784" s="27" t="str">
        <f t="shared" si="84"/>
        <v>Died</v>
      </c>
      <c r="L784" s="27" t="str">
        <f t="shared" si="85"/>
        <v>Young Adult</v>
      </c>
      <c r="M784" s="28">
        <f t="shared" si="86"/>
        <v>1</v>
      </c>
      <c r="N784" s="27" t="str">
        <f t="shared" si="87"/>
        <v>Alone</v>
      </c>
      <c r="O784" s="27" t="str">
        <f t="shared" si="88"/>
        <v>Medium Fare</v>
      </c>
      <c r="P784" s="27" t="str">
        <f t="shared" si="89"/>
        <v>First Class</v>
      </c>
      <c r="Q784" s="27">
        <f t="shared" si="90"/>
        <v>1</v>
      </c>
    </row>
    <row r="785" spans="1:17" x14ac:dyDescent="0.3">
      <c r="A785" s="16">
        <v>784</v>
      </c>
      <c r="B785" s="16">
        <v>0</v>
      </c>
      <c r="C785" s="16">
        <v>3</v>
      </c>
      <c r="D785" s="11" t="s">
        <v>1409</v>
      </c>
      <c r="E785" s="11" t="s">
        <v>11</v>
      </c>
      <c r="F785" s="25">
        <v>26</v>
      </c>
      <c r="G785" s="16">
        <v>1</v>
      </c>
      <c r="H785" s="16">
        <v>2</v>
      </c>
      <c r="I785" s="11" t="s">
        <v>1410</v>
      </c>
      <c r="J785" s="21">
        <v>23.45</v>
      </c>
      <c r="K785" s="27" t="str">
        <f t="shared" si="84"/>
        <v>Died</v>
      </c>
      <c r="L785" s="27" t="str">
        <f t="shared" si="85"/>
        <v>Young Adult</v>
      </c>
      <c r="M785" s="28">
        <f t="shared" si="86"/>
        <v>4</v>
      </c>
      <c r="N785" s="27" t="str">
        <f t="shared" si="87"/>
        <v>Small Family</v>
      </c>
      <c r="O785" s="27" t="str">
        <f t="shared" si="88"/>
        <v>Low Fare</v>
      </c>
      <c r="P785" s="27" t="str">
        <f t="shared" si="89"/>
        <v>Third Class</v>
      </c>
      <c r="Q785" s="27">
        <f t="shared" si="90"/>
        <v>1</v>
      </c>
    </row>
    <row r="786" spans="1:17" x14ac:dyDescent="0.3">
      <c r="A786" s="15">
        <v>785</v>
      </c>
      <c r="B786" s="15">
        <v>0</v>
      </c>
      <c r="C786" s="15">
        <v>3</v>
      </c>
      <c r="D786" s="8" t="s">
        <v>1411</v>
      </c>
      <c r="E786" s="8" t="s">
        <v>11</v>
      </c>
      <c r="F786" s="24">
        <v>25</v>
      </c>
      <c r="G786" s="15">
        <v>0</v>
      </c>
      <c r="H786" s="15">
        <v>0</v>
      </c>
      <c r="I786" s="8" t="s">
        <v>1412</v>
      </c>
      <c r="J786" s="20">
        <v>7.05</v>
      </c>
      <c r="K786" s="27" t="str">
        <f t="shared" si="84"/>
        <v>Died</v>
      </c>
      <c r="L786" s="27" t="str">
        <f t="shared" si="85"/>
        <v>Young Adult</v>
      </c>
      <c r="M786" s="28">
        <f t="shared" si="86"/>
        <v>1</v>
      </c>
      <c r="N786" s="27" t="str">
        <f t="shared" si="87"/>
        <v>Alone</v>
      </c>
      <c r="O786" s="27" t="str">
        <f t="shared" si="88"/>
        <v>Low Fare</v>
      </c>
      <c r="P786" s="27" t="str">
        <f t="shared" si="89"/>
        <v>Third Class</v>
      </c>
      <c r="Q786" s="27">
        <f t="shared" si="90"/>
        <v>1</v>
      </c>
    </row>
    <row r="787" spans="1:17" x14ac:dyDescent="0.3">
      <c r="A787" s="16">
        <v>786</v>
      </c>
      <c r="B787" s="16">
        <v>0</v>
      </c>
      <c r="C787" s="16">
        <v>3</v>
      </c>
      <c r="D787" s="11" t="s">
        <v>1413</v>
      </c>
      <c r="E787" s="11" t="s">
        <v>11</v>
      </c>
      <c r="F787" s="25">
        <v>25</v>
      </c>
      <c r="G787" s="16">
        <v>0</v>
      </c>
      <c r="H787" s="16">
        <v>0</v>
      </c>
      <c r="I787" s="11" t="s">
        <v>1414</v>
      </c>
      <c r="J787" s="21">
        <v>7.25</v>
      </c>
      <c r="K787" s="27" t="str">
        <f t="shared" si="84"/>
        <v>Died</v>
      </c>
      <c r="L787" s="27" t="str">
        <f t="shared" si="85"/>
        <v>Young Adult</v>
      </c>
      <c r="M787" s="28">
        <f t="shared" si="86"/>
        <v>1</v>
      </c>
      <c r="N787" s="27" t="str">
        <f t="shared" si="87"/>
        <v>Alone</v>
      </c>
      <c r="O787" s="27" t="str">
        <f t="shared" si="88"/>
        <v>Low Fare</v>
      </c>
      <c r="P787" s="27" t="str">
        <f t="shared" si="89"/>
        <v>Third Class</v>
      </c>
      <c r="Q787" s="27">
        <f t="shared" si="90"/>
        <v>1</v>
      </c>
    </row>
    <row r="788" spans="1:17" x14ac:dyDescent="0.3">
      <c r="A788" s="15">
        <v>787</v>
      </c>
      <c r="B788" s="15">
        <v>1</v>
      </c>
      <c r="C788" s="15">
        <v>3</v>
      </c>
      <c r="D788" s="8" t="s">
        <v>1415</v>
      </c>
      <c r="E788" s="8" t="s">
        <v>14</v>
      </c>
      <c r="F788" s="24">
        <v>18</v>
      </c>
      <c r="G788" s="15">
        <v>0</v>
      </c>
      <c r="H788" s="15">
        <v>0</v>
      </c>
      <c r="I788" s="8" t="s">
        <v>1416</v>
      </c>
      <c r="J788" s="20">
        <v>7.4958</v>
      </c>
      <c r="K788" s="27" t="str">
        <f t="shared" si="84"/>
        <v>Survived</v>
      </c>
      <c r="L788" s="27" t="str">
        <f t="shared" si="85"/>
        <v>Young Adult</v>
      </c>
      <c r="M788" s="28">
        <f t="shared" si="86"/>
        <v>1</v>
      </c>
      <c r="N788" s="27" t="str">
        <f t="shared" si="87"/>
        <v>Alone</v>
      </c>
      <c r="O788" s="27" t="str">
        <f t="shared" si="88"/>
        <v>Low Fare</v>
      </c>
      <c r="P788" s="27" t="str">
        <f t="shared" si="89"/>
        <v>Third Class</v>
      </c>
      <c r="Q788" s="27">
        <f t="shared" si="90"/>
        <v>2</v>
      </c>
    </row>
    <row r="789" spans="1:17" x14ac:dyDescent="0.3">
      <c r="A789" s="16">
        <v>788</v>
      </c>
      <c r="B789" s="16">
        <v>0</v>
      </c>
      <c r="C789" s="16">
        <v>3</v>
      </c>
      <c r="D789" s="11" t="s">
        <v>1417</v>
      </c>
      <c r="E789" s="11" t="s">
        <v>11</v>
      </c>
      <c r="F789" s="25">
        <v>8</v>
      </c>
      <c r="G789" s="16">
        <v>4</v>
      </c>
      <c r="H789" s="16">
        <v>1</v>
      </c>
      <c r="I789" s="11" t="s">
        <v>45</v>
      </c>
      <c r="J789" s="21">
        <v>29.125</v>
      </c>
      <c r="K789" s="27" t="str">
        <f t="shared" si="84"/>
        <v>Died</v>
      </c>
      <c r="L789" s="27" t="str">
        <f t="shared" si="85"/>
        <v>Child</v>
      </c>
      <c r="M789" s="28">
        <f t="shared" si="86"/>
        <v>6</v>
      </c>
      <c r="N789" s="27" t="str">
        <f t="shared" si="87"/>
        <v>Large Family</v>
      </c>
      <c r="O789" s="27" t="str">
        <f t="shared" si="88"/>
        <v>Medium Fare</v>
      </c>
      <c r="P789" s="27" t="str">
        <f t="shared" si="89"/>
        <v>Third Class</v>
      </c>
      <c r="Q789" s="27">
        <f t="shared" si="90"/>
        <v>1</v>
      </c>
    </row>
    <row r="790" spans="1:17" x14ac:dyDescent="0.3">
      <c r="A790" s="15">
        <v>789</v>
      </c>
      <c r="B790" s="15">
        <v>1</v>
      </c>
      <c r="C790" s="15">
        <v>3</v>
      </c>
      <c r="D790" s="8" t="s">
        <v>1418</v>
      </c>
      <c r="E790" s="8" t="s">
        <v>11</v>
      </c>
      <c r="F790" s="24">
        <v>1</v>
      </c>
      <c r="G790" s="15">
        <v>1</v>
      </c>
      <c r="H790" s="15">
        <v>2</v>
      </c>
      <c r="I790" s="8" t="s">
        <v>196</v>
      </c>
      <c r="J790" s="20">
        <v>20.574999999999999</v>
      </c>
      <c r="K790" s="27" t="str">
        <f t="shared" si="84"/>
        <v>Survived</v>
      </c>
      <c r="L790" s="27" t="str">
        <f t="shared" si="85"/>
        <v>Child</v>
      </c>
      <c r="M790" s="28">
        <f t="shared" si="86"/>
        <v>4</v>
      </c>
      <c r="N790" s="27" t="str">
        <f t="shared" si="87"/>
        <v>Small Family</v>
      </c>
      <c r="O790" s="27" t="str">
        <f t="shared" si="88"/>
        <v>Low Fare</v>
      </c>
      <c r="P790" s="27" t="str">
        <f t="shared" si="89"/>
        <v>Third Class</v>
      </c>
      <c r="Q790" s="27">
        <f t="shared" si="90"/>
        <v>1</v>
      </c>
    </row>
    <row r="791" spans="1:17" x14ac:dyDescent="0.3">
      <c r="A791" s="16">
        <v>790</v>
      </c>
      <c r="B791" s="16">
        <v>0</v>
      </c>
      <c r="C791" s="16">
        <v>1</v>
      </c>
      <c r="D791" s="11" t="s">
        <v>1419</v>
      </c>
      <c r="E791" s="11" t="s">
        <v>11</v>
      </c>
      <c r="F791" s="25">
        <v>46</v>
      </c>
      <c r="G791" s="16">
        <v>0</v>
      </c>
      <c r="H791" s="16">
        <v>0</v>
      </c>
      <c r="I791" s="11" t="s">
        <v>281</v>
      </c>
      <c r="J791" s="21">
        <v>79.2</v>
      </c>
      <c r="K791" s="27" t="str">
        <f t="shared" si="84"/>
        <v>Died</v>
      </c>
      <c r="L791" s="27" t="str">
        <f t="shared" si="85"/>
        <v>Adult</v>
      </c>
      <c r="M791" s="28">
        <f t="shared" si="86"/>
        <v>1</v>
      </c>
      <c r="N791" s="27" t="str">
        <f t="shared" si="87"/>
        <v>Alone</v>
      </c>
      <c r="O791" s="27" t="str">
        <f t="shared" si="88"/>
        <v>Medium Fare</v>
      </c>
      <c r="P791" s="27" t="str">
        <f t="shared" si="89"/>
        <v>First Class</v>
      </c>
      <c r="Q791" s="27">
        <f t="shared" si="90"/>
        <v>1</v>
      </c>
    </row>
    <row r="792" spans="1:17" x14ac:dyDescent="0.3">
      <c r="A792" s="15">
        <v>791</v>
      </c>
      <c r="B792" s="15">
        <v>0</v>
      </c>
      <c r="C792" s="15">
        <v>3</v>
      </c>
      <c r="D792" s="8" t="s">
        <v>1420</v>
      </c>
      <c r="E792" s="8" t="s">
        <v>11</v>
      </c>
      <c r="F792" s="24">
        <v>26</v>
      </c>
      <c r="G792" s="15">
        <v>0</v>
      </c>
      <c r="H792" s="15">
        <v>0</v>
      </c>
      <c r="I792" s="8" t="s">
        <v>1421</v>
      </c>
      <c r="J792" s="20">
        <v>7.75</v>
      </c>
      <c r="K792" s="27" t="str">
        <f t="shared" si="84"/>
        <v>Died</v>
      </c>
      <c r="L792" s="27" t="str">
        <f t="shared" si="85"/>
        <v>Young Adult</v>
      </c>
      <c r="M792" s="28">
        <f t="shared" si="86"/>
        <v>1</v>
      </c>
      <c r="N792" s="27" t="str">
        <f t="shared" si="87"/>
        <v>Alone</v>
      </c>
      <c r="O792" s="27" t="str">
        <f t="shared" si="88"/>
        <v>Low Fare</v>
      </c>
      <c r="P792" s="27" t="str">
        <f t="shared" si="89"/>
        <v>Third Class</v>
      </c>
      <c r="Q792" s="27">
        <f t="shared" si="90"/>
        <v>1</v>
      </c>
    </row>
    <row r="793" spans="1:17" x14ac:dyDescent="0.3">
      <c r="A793" s="16">
        <v>792</v>
      </c>
      <c r="B793" s="16">
        <v>0</v>
      </c>
      <c r="C793" s="16">
        <v>2</v>
      </c>
      <c r="D793" s="11" t="s">
        <v>1422</v>
      </c>
      <c r="E793" s="11" t="s">
        <v>11</v>
      </c>
      <c r="F793" s="25">
        <v>16</v>
      </c>
      <c r="G793" s="16">
        <v>0</v>
      </c>
      <c r="H793" s="16">
        <v>0</v>
      </c>
      <c r="I793" s="11" t="s">
        <v>53</v>
      </c>
      <c r="J793" s="21">
        <v>26</v>
      </c>
      <c r="K793" s="27" t="str">
        <f t="shared" si="84"/>
        <v>Died</v>
      </c>
      <c r="L793" s="27" t="str">
        <f t="shared" si="85"/>
        <v>Child</v>
      </c>
      <c r="M793" s="28">
        <f t="shared" si="86"/>
        <v>1</v>
      </c>
      <c r="N793" s="27" t="str">
        <f t="shared" si="87"/>
        <v>Alone</v>
      </c>
      <c r="O793" s="27" t="str">
        <f t="shared" si="88"/>
        <v>Medium Fare</v>
      </c>
      <c r="P793" s="27" t="str">
        <f t="shared" si="89"/>
        <v>Second Class</v>
      </c>
      <c r="Q793" s="27">
        <f t="shared" si="90"/>
        <v>1</v>
      </c>
    </row>
    <row r="794" spans="1:17" x14ac:dyDescent="0.3">
      <c r="A794" s="15">
        <v>793</v>
      </c>
      <c r="B794" s="15">
        <v>0</v>
      </c>
      <c r="C794" s="15">
        <v>3</v>
      </c>
      <c r="D794" s="8" t="s">
        <v>1423</v>
      </c>
      <c r="E794" s="8" t="s">
        <v>14</v>
      </c>
      <c r="F794" s="24">
        <v>26</v>
      </c>
      <c r="G794" s="15">
        <v>8</v>
      </c>
      <c r="H794" s="15">
        <v>2</v>
      </c>
      <c r="I794" s="8" t="s">
        <v>320</v>
      </c>
      <c r="J794" s="20">
        <v>69.55</v>
      </c>
      <c r="K794" s="27" t="str">
        <f t="shared" si="84"/>
        <v>Died</v>
      </c>
      <c r="L794" s="27" t="str">
        <f t="shared" si="85"/>
        <v>Young Adult</v>
      </c>
      <c r="M794" s="28">
        <f t="shared" si="86"/>
        <v>11</v>
      </c>
      <c r="N794" s="27" t="str">
        <f t="shared" si="87"/>
        <v>Large Family</v>
      </c>
      <c r="O794" s="27" t="str">
        <f t="shared" si="88"/>
        <v>Medium Fare</v>
      </c>
      <c r="P794" s="27" t="str">
        <f t="shared" si="89"/>
        <v>Third Class</v>
      </c>
      <c r="Q794" s="27">
        <f t="shared" si="90"/>
        <v>2</v>
      </c>
    </row>
    <row r="795" spans="1:17" x14ac:dyDescent="0.3">
      <c r="A795" s="16">
        <v>794</v>
      </c>
      <c r="B795" s="16">
        <v>0</v>
      </c>
      <c r="C795" s="16">
        <v>1</v>
      </c>
      <c r="D795" s="11" t="s">
        <v>1424</v>
      </c>
      <c r="E795" s="11" t="s">
        <v>11</v>
      </c>
      <c r="F795" s="25">
        <v>26</v>
      </c>
      <c r="G795" s="16">
        <v>0</v>
      </c>
      <c r="H795" s="16">
        <v>0</v>
      </c>
      <c r="I795" s="11" t="s">
        <v>1425</v>
      </c>
      <c r="J795" s="21">
        <v>30.695799999999998</v>
      </c>
      <c r="K795" s="27" t="str">
        <f t="shared" si="84"/>
        <v>Died</v>
      </c>
      <c r="L795" s="27" t="str">
        <f t="shared" si="85"/>
        <v>Young Adult</v>
      </c>
      <c r="M795" s="28">
        <f t="shared" si="86"/>
        <v>1</v>
      </c>
      <c r="N795" s="27" t="str">
        <f t="shared" si="87"/>
        <v>Alone</v>
      </c>
      <c r="O795" s="27" t="str">
        <f t="shared" si="88"/>
        <v>Medium Fare</v>
      </c>
      <c r="P795" s="27" t="str">
        <f t="shared" si="89"/>
        <v>First Class</v>
      </c>
      <c r="Q795" s="27">
        <f t="shared" si="90"/>
        <v>1</v>
      </c>
    </row>
    <row r="796" spans="1:17" x14ac:dyDescent="0.3">
      <c r="A796" s="15">
        <v>795</v>
      </c>
      <c r="B796" s="15">
        <v>0</v>
      </c>
      <c r="C796" s="15">
        <v>3</v>
      </c>
      <c r="D796" s="8" t="s">
        <v>1426</v>
      </c>
      <c r="E796" s="8" t="s">
        <v>11</v>
      </c>
      <c r="F796" s="24">
        <v>25</v>
      </c>
      <c r="G796" s="15">
        <v>0</v>
      </c>
      <c r="H796" s="15">
        <v>0</v>
      </c>
      <c r="I796" s="8" t="s">
        <v>1427</v>
      </c>
      <c r="J796" s="20">
        <v>7.8958000000000004</v>
      </c>
      <c r="K796" s="27" t="str">
        <f t="shared" si="84"/>
        <v>Died</v>
      </c>
      <c r="L796" s="27" t="str">
        <f t="shared" si="85"/>
        <v>Young Adult</v>
      </c>
      <c r="M796" s="28">
        <f t="shared" si="86"/>
        <v>1</v>
      </c>
      <c r="N796" s="27" t="str">
        <f t="shared" si="87"/>
        <v>Alone</v>
      </c>
      <c r="O796" s="27" t="str">
        <f t="shared" si="88"/>
        <v>Low Fare</v>
      </c>
      <c r="P796" s="27" t="str">
        <f t="shared" si="89"/>
        <v>Third Class</v>
      </c>
      <c r="Q796" s="27">
        <f t="shared" si="90"/>
        <v>1</v>
      </c>
    </row>
    <row r="797" spans="1:17" x14ac:dyDescent="0.3">
      <c r="A797" s="16">
        <v>796</v>
      </c>
      <c r="B797" s="16">
        <v>0</v>
      </c>
      <c r="C797" s="16">
        <v>2</v>
      </c>
      <c r="D797" s="11" t="s">
        <v>1428</v>
      </c>
      <c r="E797" s="11" t="s">
        <v>11</v>
      </c>
      <c r="F797" s="25">
        <v>39</v>
      </c>
      <c r="G797" s="16">
        <v>0</v>
      </c>
      <c r="H797" s="16">
        <v>0</v>
      </c>
      <c r="I797" s="11" t="s">
        <v>1429</v>
      </c>
      <c r="J797" s="21">
        <v>13</v>
      </c>
      <c r="K797" s="27" t="str">
        <f t="shared" si="84"/>
        <v>Died</v>
      </c>
      <c r="L797" s="27" t="str">
        <f t="shared" si="85"/>
        <v>Adult</v>
      </c>
      <c r="M797" s="28">
        <f t="shared" si="86"/>
        <v>1</v>
      </c>
      <c r="N797" s="27" t="str">
        <f t="shared" si="87"/>
        <v>Alone</v>
      </c>
      <c r="O797" s="27" t="str">
        <f t="shared" si="88"/>
        <v>Low Fare</v>
      </c>
      <c r="P797" s="27" t="str">
        <f t="shared" si="89"/>
        <v>Second Class</v>
      </c>
      <c r="Q797" s="27">
        <f t="shared" si="90"/>
        <v>1</v>
      </c>
    </row>
    <row r="798" spans="1:17" x14ac:dyDescent="0.3">
      <c r="A798" s="15">
        <v>797</v>
      </c>
      <c r="B798" s="15">
        <v>1</v>
      </c>
      <c r="C798" s="15">
        <v>1</v>
      </c>
      <c r="D798" s="8" t="s">
        <v>1430</v>
      </c>
      <c r="E798" s="8" t="s">
        <v>14</v>
      </c>
      <c r="F798" s="24">
        <v>49</v>
      </c>
      <c r="G798" s="15">
        <v>0</v>
      </c>
      <c r="H798" s="15">
        <v>0</v>
      </c>
      <c r="I798" s="8" t="s">
        <v>1431</v>
      </c>
      <c r="J798" s="20">
        <v>25.929200000000002</v>
      </c>
      <c r="K798" s="27" t="str">
        <f t="shared" si="84"/>
        <v>Survived</v>
      </c>
      <c r="L798" s="27" t="str">
        <f t="shared" si="85"/>
        <v>Adult</v>
      </c>
      <c r="M798" s="28">
        <f t="shared" si="86"/>
        <v>1</v>
      </c>
      <c r="N798" s="27" t="str">
        <f t="shared" si="87"/>
        <v>Alone</v>
      </c>
      <c r="O798" s="27" t="str">
        <f t="shared" si="88"/>
        <v>Medium Fare</v>
      </c>
      <c r="P798" s="27" t="str">
        <f t="shared" si="89"/>
        <v>First Class</v>
      </c>
      <c r="Q798" s="27">
        <f t="shared" si="90"/>
        <v>2</v>
      </c>
    </row>
    <row r="799" spans="1:17" x14ac:dyDescent="0.3">
      <c r="A799" s="16">
        <v>798</v>
      </c>
      <c r="B799" s="16">
        <v>1</v>
      </c>
      <c r="C799" s="16">
        <v>3</v>
      </c>
      <c r="D799" s="11" t="s">
        <v>1432</v>
      </c>
      <c r="E799" s="11" t="s">
        <v>14</v>
      </c>
      <c r="F799" s="25">
        <v>31</v>
      </c>
      <c r="G799" s="16">
        <v>0</v>
      </c>
      <c r="H799" s="16">
        <v>0</v>
      </c>
      <c r="I799" s="11" t="s">
        <v>1433</v>
      </c>
      <c r="J799" s="21">
        <v>8.6832999999999991</v>
      </c>
      <c r="K799" s="27" t="str">
        <f t="shared" si="84"/>
        <v>Survived</v>
      </c>
      <c r="L799" s="27" t="str">
        <f t="shared" si="85"/>
        <v>Young Adult</v>
      </c>
      <c r="M799" s="28">
        <f t="shared" si="86"/>
        <v>1</v>
      </c>
      <c r="N799" s="27" t="str">
        <f t="shared" si="87"/>
        <v>Alone</v>
      </c>
      <c r="O799" s="27" t="str">
        <f t="shared" si="88"/>
        <v>Low Fare</v>
      </c>
      <c r="P799" s="27" t="str">
        <f t="shared" si="89"/>
        <v>Third Class</v>
      </c>
      <c r="Q799" s="27">
        <f t="shared" si="90"/>
        <v>2</v>
      </c>
    </row>
    <row r="800" spans="1:17" x14ac:dyDescent="0.3">
      <c r="A800" s="15">
        <v>799</v>
      </c>
      <c r="B800" s="15">
        <v>0</v>
      </c>
      <c r="C800" s="15">
        <v>3</v>
      </c>
      <c r="D800" s="8" t="s">
        <v>1434</v>
      </c>
      <c r="E800" s="8" t="s">
        <v>11</v>
      </c>
      <c r="F800" s="24">
        <v>30</v>
      </c>
      <c r="G800" s="15">
        <v>0</v>
      </c>
      <c r="H800" s="15">
        <v>0</v>
      </c>
      <c r="I800" s="8" t="s">
        <v>1435</v>
      </c>
      <c r="J800" s="20">
        <v>7.2291999999999996</v>
      </c>
      <c r="K800" s="27" t="str">
        <f t="shared" si="84"/>
        <v>Died</v>
      </c>
      <c r="L800" s="27" t="str">
        <f t="shared" si="85"/>
        <v>Young Adult</v>
      </c>
      <c r="M800" s="28">
        <f t="shared" si="86"/>
        <v>1</v>
      </c>
      <c r="N800" s="27" t="str">
        <f t="shared" si="87"/>
        <v>Alone</v>
      </c>
      <c r="O800" s="27" t="str">
        <f t="shared" si="88"/>
        <v>Low Fare</v>
      </c>
      <c r="P800" s="27" t="str">
        <f t="shared" si="89"/>
        <v>Third Class</v>
      </c>
      <c r="Q800" s="27">
        <f t="shared" si="90"/>
        <v>1</v>
      </c>
    </row>
    <row r="801" spans="1:17" x14ac:dyDescent="0.3">
      <c r="A801" s="16">
        <v>800</v>
      </c>
      <c r="B801" s="16">
        <v>0</v>
      </c>
      <c r="C801" s="16">
        <v>3</v>
      </c>
      <c r="D801" s="11" t="s">
        <v>1436</v>
      </c>
      <c r="E801" s="11" t="s">
        <v>14</v>
      </c>
      <c r="F801" s="25">
        <v>30</v>
      </c>
      <c r="G801" s="16">
        <v>1</v>
      </c>
      <c r="H801" s="16">
        <v>1</v>
      </c>
      <c r="I801" s="11" t="s">
        <v>789</v>
      </c>
      <c r="J801" s="21">
        <v>24.15</v>
      </c>
      <c r="K801" s="27" t="str">
        <f t="shared" si="84"/>
        <v>Died</v>
      </c>
      <c r="L801" s="27" t="str">
        <f t="shared" si="85"/>
        <v>Young Adult</v>
      </c>
      <c r="M801" s="28">
        <f t="shared" si="86"/>
        <v>3</v>
      </c>
      <c r="N801" s="27" t="str">
        <f t="shared" si="87"/>
        <v>Small Family</v>
      </c>
      <c r="O801" s="27" t="str">
        <f t="shared" si="88"/>
        <v>Low Fare</v>
      </c>
      <c r="P801" s="27" t="str">
        <f t="shared" si="89"/>
        <v>Third Class</v>
      </c>
      <c r="Q801" s="27">
        <f t="shared" si="90"/>
        <v>2</v>
      </c>
    </row>
    <row r="802" spans="1:17" x14ac:dyDescent="0.3">
      <c r="A802" s="15">
        <v>801</v>
      </c>
      <c r="B802" s="15">
        <v>0</v>
      </c>
      <c r="C802" s="15">
        <v>2</v>
      </c>
      <c r="D802" s="8" t="s">
        <v>1437</v>
      </c>
      <c r="E802" s="8" t="s">
        <v>11</v>
      </c>
      <c r="F802" s="24">
        <v>34</v>
      </c>
      <c r="G802" s="15">
        <v>0</v>
      </c>
      <c r="H802" s="15">
        <v>0</v>
      </c>
      <c r="I802" s="8" t="s">
        <v>1294</v>
      </c>
      <c r="J802" s="20">
        <v>13</v>
      </c>
      <c r="K802" s="27" t="str">
        <f t="shared" si="84"/>
        <v>Died</v>
      </c>
      <c r="L802" s="27" t="str">
        <f t="shared" si="85"/>
        <v>Young Adult</v>
      </c>
      <c r="M802" s="28">
        <f t="shared" si="86"/>
        <v>1</v>
      </c>
      <c r="N802" s="27" t="str">
        <f t="shared" si="87"/>
        <v>Alone</v>
      </c>
      <c r="O802" s="27" t="str">
        <f t="shared" si="88"/>
        <v>Low Fare</v>
      </c>
      <c r="P802" s="27" t="str">
        <f t="shared" si="89"/>
        <v>Second Class</v>
      </c>
      <c r="Q802" s="27">
        <f t="shared" si="90"/>
        <v>1</v>
      </c>
    </row>
    <row r="803" spans="1:17" x14ac:dyDescent="0.3">
      <c r="A803" s="16">
        <v>802</v>
      </c>
      <c r="B803" s="16">
        <v>1</v>
      </c>
      <c r="C803" s="16">
        <v>2</v>
      </c>
      <c r="D803" s="11" t="s">
        <v>1438</v>
      </c>
      <c r="E803" s="11" t="s">
        <v>14</v>
      </c>
      <c r="F803" s="25">
        <v>31</v>
      </c>
      <c r="G803" s="16">
        <v>1</v>
      </c>
      <c r="H803" s="16">
        <v>1</v>
      </c>
      <c r="I803" s="11" t="s">
        <v>462</v>
      </c>
      <c r="J803" s="21">
        <v>26.25</v>
      </c>
      <c r="K803" s="27" t="str">
        <f t="shared" si="84"/>
        <v>Survived</v>
      </c>
      <c r="L803" s="27" t="str">
        <f t="shared" si="85"/>
        <v>Young Adult</v>
      </c>
      <c r="M803" s="28">
        <f t="shared" si="86"/>
        <v>3</v>
      </c>
      <c r="N803" s="27" t="str">
        <f t="shared" si="87"/>
        <v>Small Family</v>
      </c>
      <c r="O803" s="27" t="str">
        <f t="shared" si="88"/>
        <v>Medium Fare</v>
      </c>
      <c r="P803" s="27" t="str">
        <f t="shared" si="89"/>
        <v>Second Class</v>
      </c>
      <c r="Q803" s="27">
        <f t="shared" si="90"/>
        <v>2</v>
      </c>
    </row>
    <row r="804" spans="1:17" x14ac:dyDescent="0.3">
      <c r="A804" s="15">
        <v>803</v>
      </c>
      <c r="B804" s="15">
        <v>1</v>
      </c>
      <c r="C804" s="15">
        <v>1</v>
      </c>
      <c r="D804" s="8" t="s">
        <v>1439</v>
      </c>
      <c r="E804" s="8" t="s">
        <v>11</v>
      </c>
      <c r="F804" s="24">
        <v>11</v>
      </c>
      <c r="G804" s="15">
        <v>1</v>
      </c>
      <c r="H804" s="15">
        <v>2</v>
      </c>
      <c r="I804" s="8" t="s">
        <v>737</v>
      </c>
      <c r="J804" s="20">
        <v>120</v>
      </c>
      <c r="K804" s="27" t="str">
        <f t="shared" si="84"/>
        <v>Survived</v>
      </c>
      <c r="L804" s="27" t="str">
        <f t="shared" si="85"/>
        <v>Child</v>
      </c>
      <c r="M804" s="28">
        <f t="shared" si="86"/>
        <v>4</v>
      </c>
      <c r="N804" s="27" t="str">
        <f t="shared" si="87"/>
        <v>Small Family</v>
      </c>
      <c r="O804" s="27" t="str">
        <f t="shared" si="88"/>
        <v>High Fare</v>
      </c>
      <c r="P804" s="27" t="str">
        <f t="shared" si="89"/>
        <v>First Class</v>
      </c>
      <c r="Q804" s="27">
        <f t="shared" si="90"/>
        <v>1</v>
      </c>
    </row>
    <row r="805" spans="1:17" x14ac:dyDescent="0.3">
      <c r="A805" s="16">
        <v>804</v>
      </c>
      <c r="B805" s="16">
        <v>1</v>
      </c>
      <c r="C805" s="16">
        <v>3</v>
      </c>
      <c r="D805" s="11" t="s">
        <v>1440</v>
      </c>
      <c r="E805" s="11" t="s">
        <v>11</v>
      </c>
      <c r="F805" s="25">
        <v>0.42</v>
      </c>
      <c r="G805" s="16">
        <v>0</v>
      </c>
      <c r="H805" s="16">
        <v>1</v>
      </c>
      <c r="I805" s="11" t="s">
        <v>1441</v>
      </c>
      <c r="J805" s="21">
        <v>8.5167000000000002</v>
      </c>
      <c r="K805" s="27" t="str">
        <f t="shared" si="84"/>
        <v>Survived</v>
      </c>
      <c r="L805" s="27" t="str">
        <f t="shared" si="85"/>
        <v>Child</v>
      </c>
      <c r="M805" s="28">
        <f t="shared" si="86"/>
        <v>2</v>
      </c>
      <c r="N805" s="27" t="str">
        <f t="shared" si="87"/>
        <v>Small Family</v>
      </c>
      <c r="O805" s="27" t="str">
        <f t="shared" si="88"/>
        <v>Low Fare</v>
      </c>
      <c r="P805" s="27" t="str">
        <f t="shared" si="89"/>
        <v>Third Class</v>
      </c>
      <c r="Q805" s="27">
        <f t="shared" si="90"/>
        <v>1</v>
      </c>
    </row>
    <row r="806" spans="1:17" x14ac:dyDescent="0.3">
      <c r="A806" s="15">
        <v>805</v>
      </c>
      <c r="B806" s="15">
        <v>1</v>
      </c>
      <c r="C806" s="15">
        <v>3</v>
      </c>
      <c r="D806" s="8" t="s">
        <v>1442</v>
      </c>
      <c r="E806" s="8" t="s">
        <v>11</v>
      </c>
      <c r="F806" s="24">
        <v>27</v>
      </c>
      <c r="G806" s="15">
        <v>0</v>
      </c>
      <c r="H806" s="15">
        <v>0</v>
      </c>
      <c r="I806" s="8" t="s">
        <v>1443</v>
      </c>
      <c r="J806" s="20">
        <v>6.9749999999999996</v>
      </c>
      <c r="K806" s="27" t="str">
        <f t="shared" si="84"/>
        <v>Survived</v>
      </c>
      <c r="L806" s="27" t="str">
        <f t="shared" si="85"/>
        <v>Young Adult</v>
      </c>
      <c r="M806" s="28">
        <f t="shared" si="86"/>
        <v>1</v>
      </c>
      <c r="N806" s="27" t="str">
        <f t="shared" si="87"/>
        <v>Alone</v>
      </c>
      <c r="O806" s="27" t="str">
        <f t="shared" si="88"/>
        <v>Low Fare</v>
      </c>
      <c r="P806" s="27" t="str">
        <f t="shared" si="89"/>
        <v>Third Class</v>
      </c>
      <c r="Q806" s="27">
        <f t="shared" si="90"/>
        <v>1</v>
      </c>
    </row>
    <row r="807" spans="1:17" x14ac:dyDescent="0.3">
      <c r="A807" s="16">
        <v>806</v>
      </c>
      <c r="B807" s="16">
        <v>0</v>
      </c>
      <c r="C807" s="16">
        <v>3</v>
      </c>
      <c r="D807" s="11" t="s">
        <v>1444</v>
      </c>
      <c r="E807" s="11" t="s">
        <v>11</v>
      </c>
      <c r="F807" s="25">
        <v>31</v>
      </c>
      <c r="G807" s="16">
        <v>0</v>
      </c>
      <c r="H807" s="16">
        <v>0</v>
      </c>
      <c r="I807" s="11" t="s">
        <v>1445</v>
      </c>
      <c r="J807" s="21">
        <v>7.7750000000000004</v>
      </c>
      <c r="K807" s="27" t="str">
        <f t="shared" si="84"/>
        <v>Died</v>
      </c>
      <c r="L807" s="27" t="str">
        <f t="shared" si="85"/>
        <v>Young Adult</v>
      </c>
      <c r="M807" s="28">
        <f t="shared" si="86"/>
        <v>1</v>
      </c>
      <c r="N807" s="27" t="str">
        <f t="shared" si="87"/>
        <v>Alone</v>
      </c>
      <c r="O807" s="27" t="str">
        <f t="shared" si="88"/>
        <v>Low Fare</v>
      </c>
      <c r="P807" s="27" t="str">
        <f t="shared" si="89"/>
        <v>Third Class</v>
      </c>
      <c r="Q807" s="27">
        <f t="shared" si="90"/>
        <v>1</v>
      </c>
    </row>
    <row r="808" spans="1:17" x14ac:dyDescent="0.3">
      <c r="A808" s="15">
        <v>807</v>
      </c>
      <c r="B808" s="15">
        <v>0</v>
      </c>
      <c r="C808" s="15">
        <v>1</v>
      </c>
      <c r="D808" s="8" t="s">
        <v>1446</v>
      </c>
      <c r="E808" s="8" t="s">
        <v>11</v>
      </c>
      <c r="F808" s="24">
        <v>39</v>
      </c>
      <c r="G808" s="15">
        <v>0</v>
      </c>
      <c r="H808" s="15">
        <v>0</v>
      </c>
      <c r="I808" s="8" t="s">
        <v>1447</v>
      </c>
      <c r="J808" s="20">
        <v>0</v>
      </c>
      <c r="K808" s="27" t="str">
        <f t="shared" si="84"/>
        <v>Died</v>
      </c>
      <c r="L808" s="27" t="str">
        <f t="shared" si="85"/>
        <v>Adult</v>
      </c>
      <c r="M808" s="28">
        <f t="shared" si="86"/>
        <v>1</v>
      </c>
      <c r="N808" s="27" t="str">
        <f t="shared" si="87"/>
        <v>Alone</v>
      </c>
      <c r="O808" s="27" t="str">
        <f t="shared" si="88"/>
        <v>Low Fare</v>
      </c>
      <c r="P808" s="27" t="str">
        <f t="shared" si="89"/>
        <v>First Class</v>
      </c>
      <c r="Q808" s="27">
        <f t="shared" si="90"/>
        <v>1</v>
      </c>
    </row>
    <row r="809" spans="1:17" x14ac:dyDescent="0.3">
      <c r="A809" s="16">
        <v>808</v>
      </c>
      <c r="B809" s="16">
        <v>0</v>
      </c>
      <c r="C809" s="16">
        <v>3</v>
      </c>
      <c r="D809" s="11" t="s">
        <v>1448</v>
      </c>
      <c r="E809" s="11" t="s">
        <v>14</v>
      </c>
      <c r="F809" s="25">
        <v>18</v>
      </c>
      <c r="G809" s="16">
        <v>0</v>
      </c>
      <c r="H809" s="16">
        <v>0</v>
      </c>
      <c r="I809" s="11" t="s">
        <v>1449</v>
      </c>
      <c r="J809" s="21">
        <v>7.7750000000000004</v>
      </c>
      <c r="K809" s="27" t="str">
        <f t="shared" si="84"/>
        <v>Died</v>
      </c>
      <c r="L809" s="27" t="str">
        <f t="shared" si="85"/>
        <v>Young Adult</v>
      </c>
      <c r="M809" s="28">
        <f t="shared" si="86"/>
        <v>1</v>
      </c>
      <c r="N809" s="27" t="str">
        <f t="shared" si="87"/>
        <v>Alone</v>
      </c>
      <c r="O809" s="27" t="str">
        <f t="shared" si="88"/>
        <v>Low Fare</v>
      </c>
      <c r="P809" s="27" t="str">
        <f t="shared" si="89"/>
        <v>Third Class</v>
      </c>
      <c r="Q809" s="27">
        <f t="shared" si="90"/>
        <v>2</v>
      </c>
    </row>
    <row r="810" spans="1:17" x14ac:dyDescent="0.3">
      <c r="A810" s="15">
        <v>809</v>
      </c>
      <c r="B810" s="15">
        <v>0</v>
      </c>
      <c r="C810" s="15">
        <v>2</v>
      </c>
      <c r="D810" s="8" t="s">
        <v>1450</v>
      </c>
      <c r="E810" s="8" t="s">
        <v>11</v>
      </c>
      <c r="F810" s="24">
        <v>39</v>
      </c>
      <c r="G810" s="15">
        <v>0</v>
      </c>
      <c r="H810" s="15">
        <v>0</v>
      </c>
      <c r="I810" s="8" t="s">
        <v>1451</v>
      </c>
      <c r="J810" s="20">
        <v>13</v>
      </c>
      <c r="K810" s="27" t="str">
        <f t="shared" si="84"/>
        <v>Died</v>
      </c>
      <c r="L810" s="27" t="str">
        <f t="shared" si="85"/>
        <v>Adult</v>
      </c>
      <c r="M810" s="28">
        <f t="shared" si="86"/>
        <v>1</v>
      </c>
      <c r="N810" s="27" t="str">
        <f t="shared" si="87"/>
        <v>Alone</v>
      </c>
      <c r="O810" s="27" t="str">
        <f t="shared" si="88"/>
        <v>Low Fare</v>
      </c>
      <c r="P810" s="27" t="str">
        <f t="shared" si="89"/>
        <v>Second Class</v>
      </c>
      <c r="Q810" s="27">
        <f t="shared" si="90"/>
        <v>1</v>
      </c>
    </row>
    <row r="811" spans="1:17" x14ac:dyDescent="0.3">
      <c r="A811" s="16">
        <v>810</v>
      </c>
      <c r="B811" s="16">
        <v>1</v>
      </c>
      <c r="C811" s="16">
        <v>1</v>
      </c>
      <c r="D811" s="11" t="s">
        <v>1452</v>
      </c>
      <c r="E811" s="11" t="s">
        <v>14</v>
      </c>
      <c r="F811" s="25">
        <v>33</v>
      </c>
      <c r="G811" s="16">
        <v>1</v>
      </c>
      <c r="H811" s="16">
        <v>0</v>
      </c>
      <c r="I811" s="11" t="s">
        <v>1312</v>
      </c>
      <c r="J811" s="21">
        <v>53.1</v>
      </c>
      <c r="K811" s="27" t="str">
        <f t="shared" si="84"/>
        <v>Survived</v>
      </c>
      <c r="L811" s="27" t="str">
        <f t="shared" si="85"/>
        <v>Young Adult</v>
      </c>
      <c r="M811" s="28">
        <f t="shared" si="86"/>
        <v>2</v>
      </c>
      <c r="N811" s="27" t="str">
        <f t="shared" si="87"/>
        <v>Small Family</v>
      </c>
      <c r="O811" s="27" t="str">
        <f t="shared" si="88"/>
        <v>Medium Fare</v>
      </c>
      <c r="P811" s="27" t="str">
        <f t="shared" si="89"/>
        <v>First Class</v>
      </c>
      <c r="Q811" s="27">
        <f t="shared" si="90"/>
        <v>2</v>
      </c>
    </row>
    <row r="812" spans="1:17" x14ac:dyDescent="0.3">
      <c r="A812" s="15">
        <v>811</v>
      </c>
      <c r="B812" s="15">
        <v>0</v>
      </c>
      <c r="C812" s="15">
        <v>3</v>
      </c>
      <c r="D812" s="8" t="s">
        <v>1453</v>
      </c>
      <c r="E812" s="8" t="s">
        <v>11</v>
      </c>
      <c r="F812" s="24">
        <v>26</v>
      </c>
      <c r="G812" s="15">
        <v>0</v>
      </c>
      <c r="H812" s="15">
        <v>0</v>
      </c>
      <c r="I812" s="8" t="s">
        <v>1454</v>
      </c>
      <c r="J812" s="20">
        <v>7.8875000000000002</v>
      </c>
      <c r="K812" s="27" t="str">
        <f t="shared" si="84"/>
        <v>Died</v>
      </c>
      <c r="L812" s="27" t="str">
        <f t="shared" si="85"/>
        <v>Young Adult</v>
      </c>
      <c r="M812" s="28">
        <f t="shared" si="86"/>
        <v>1</v>
      </c>
      <c r="N812" s="27" t="str">
        <f t="shared" si="87"/>
        <v>Alone</v>
      </c>
      <c r="O812" s="27" t="str">
        <f t="shared" si="88"/>
        <v>Low Fare</v>
      </c>
      <c r="P812" s="27" t="str">
        <f t="shared" si="89"/>
        <v>Third Class</v>
      </c>
      <c r="Q812" s="27">
        <f t="shared" si="90"/>
        <v>1</v>
      </c>
    </row>
    <row r="813" spans="1:17" x14ac:dyDescent="0.3">
      <c r="A813" s="16">
        <v>812</v>
      </c>
      <c r="B813" s="16">
        <v>0</v>
      </c>
      <c r="C813" s="16">
        <v>3</v>
      </c>
      <c r="D813" s="11" t="s">
        <v>1455</v>
      </c>
      <c r="E813" s="11" t="s">
        <v>11</v>
      </c>
      <c r="F813" s="25">
        <v>39</v>
      </c>
      <c r="G813" s="16">
        <v>0</v>
      </c>
      <c r="H813" s="16">
        <v>0</v>
      </c>
      <c r="I813" s="11" t="s">
        <v>1045</v>
      </c>
      <c r="J813" s="21">
        <v>24.15</v>
      </c>
      <c r="K813" s="27" t="str">
        <f t="shared" si="84"/>
        <v>Died</v>
      </c>
      <c r="L813" s="27" t="str">
        <f t="shared" si="85"/>
        <v>Adult</v>
      </c>
      <c r="M813" s="28">
        <f t="shared" si="86"/>
        <v>1</v>
      </c>
      <c r="N813" s="27" t="str">
        <f t="shared" si="87"/>
        <v>Alone</v>
      </c>
      <c r="O813" s="27" t="str">
        <f t="shared" si="88"/>
        <v>Low Fare</v>
      </c>
      <c r="P813" s="27" t="str">
        <f t="shared" si="89"/>
        <v>Third Class</v>
      </c>
      <c r="Q813" s="27">
        <f t="shared" si="90"/>
        <v>1</v>
      </c>
    </row>
    <row r="814" spans="1:17" x14ac:dyDescent="0.3">
      <c r="A814" s="15">
        <v>813</v>
      </c>
      <c r="B814" s="15">
        <v>0</v>
      </c>
      <c r="C814" s="15">
        <v>2</v>
      </c>
      <c r="D814" s="8" t="s">
        <v>1456</v>
      </c>
      <c r="E814" s="8" t="s">
        <v>11</v>
      </c>
      <c r="F814" s="24">
        <v>35</v>
      </c>
      <c r="G814" s="15">
        <v>0</v>
      </c>
      <c r="H814" s="15">
        <v>0</v>
      </c>
      <c r="I814" s="8" t="s">
        <v>1457</v>
      </c>
      <c r="J814" s="20">
        <v>10.5</v>
      </c>
      <c r="K814" s="27" t="str">
        <f t="shared" si="84"/>
        <v>Died</v>
      </c>
      <c r="L814" s="27" t="str">
        <f t="shared" si="85"/>
        <v>Adult</v>
      </c>
      <c r="M814" s="28">
        <f t="shared" si="86"/>
        <v>1</v>
      </c>
      <c r="N814" s="27" t="str">
        <f t="shared" si="87"/>
        <v>Alone</v>
      </c>
      <c r="O814" s="27" t="str">
        <f t="shared" si="88"/>
        <v>Low Fare</v>
      </c>
      <c r="P814" s="27" t="str">
        <f t="shared" si="89"/>
        <v>Second Class</v>
      </c>
      <c r="Q814" s="27">
        <f t="shared" si="90"/>
        <v>1</v>
      </c>
    </row>
    <row r="815" spans="1:17" x14ac:dyDescent="0.3">
      <c r="A815" s="16">
        <v>814</v>
      </c>
      <c r="B815" s="16">
        <v>0</v>
      </c>
      <c r="C815" s="16">
        <v>3</v>
      </c>
      <c r="D815" s="11" t="s">
        <v>1458</v>
      </c>
      <c r="E815" s="11" t="s">
        <v>14</v>
      </c>
      <c r="F815" s="25">
        <v>6</v>
      </c>
      <c r="G815" s="16">
        <v>4</v>
      </c>
      <c r="H815" s="16">
        <v>2</v>
      </c>
      <c r="I815" s="11" t="s">
        <v>39</v>
      </c>
      <c r="J815" s="21">
        <v>31.274999999999999</v>
      </c>
      <c r="K815" s="27" t="str">
        <f t="shared" si="84"/>
        <v>Died</v>
      </c>
      <c r="L815" s="27" t="str">
        <f t="shared" si="85"/>
        <v>Child</v>
      </c>
      <c r="M815" s="28">
        <f t="shared" si="86"/>
        <v>7</v>
      </c>
      <c r="N815" s="27" t="str">
        <f t="shared" si="87"/>
        <v>Large Family</v>
      </c>
      <c r="O815" s="27" t="str">
        <f t="shared" si="88"/>
        <v>Medium Fare</v>
      </c>
      <c r="P815" s="27" t="str">
        <f t="shared" si="89"/>
        <v>Third Class</v>
      </c>
      <c r="Q815" s="27">
        <f t="shared" si="90"/>
        <v>2</v>
      </c>
    </row>
    <row r="816" spans="1:17" x14ac:dyDescent="0.3">
      <c r="A816" s="15">
        <v>815</v>
      </c>
      <c r="B816" s="15">
        <v>0</v>
      </c>
      <c r="C816" s="15">
        <v>3</v>
      </c>
      <c r="D816" s="8" t="s">
        <v>1459</v>
      </c>
      <c r="E816" s="8" t="s">
        <v>11</v>
      </c>
      <c r="F816" s="24">
        <v>30.5</v>
      </c>
      <c r="G816" s="15">
        <v>0</v>
      </c>
      <c r="H816" s="15">
        <v>0</v>
      </c>
      <c r="I816" s="8" t="s">
        <v>1460</v>
      </c>
      <c r="J816" s="20">
        <v>8.0500000000000007</v>
      </c>
      <c r="K816" s="27" t="str">
        <f t="shared" si="84"/>
        <v>Died</v>
      </c>
      <c r="L816" s="27" t="str">
        <f t="shared" si="85"/>
        <v>Young Adult</v>
      </c>
      <c r="M816" s="28">
        <f t="shared" si="86"/>
        <v>1</v>
      </c>
      <c r="N816" s="27" t="str">
        <f t="shared" si="87"/>
        <v>Alone</v>
      </c>
      <c r="O816" s="27" t="str">
        <f t="shared" si="88"/>
        <v>Low Fare</v>
      </c>
      <c r="P816" s="27" t="str">
        <f t="shared" si="89"/>
        <v>Third Class</v>
      </c>
      <c r="Q816" s="27">
        <f t="shared" si="90"/>
        <v>1</v>
      </c>
    </row>
    <row r="817" spans="1:17" x14ac:dyDescent="0.3">
      <c r="A817" s="16">
        <v>816</v>
      </c>
      <c r="B817" s="16">
        <v>0</v>
      </c>
      <c r="C817" s="16">
        <v>1</v>
      </c>
      <c r="D817" s="11" t="s">
        <v>1461</v>
      </c>
      <c r="E817" s="11" t="s">
        <v>11</v>
      </c>
      <c r="F817" s="25">
        <v>26</v>
      </c>
      <c r="G817" s="16">
        <v>0</v>
      </c>
      <c r="H817" s="16">
        <v>0</v>
      </c>
      <c r="I817" s="11" t="s">
        <v>1462</v>
      </c>
      <c r="J817" s="21">
        <v>0</v>
      </c>
      <c r="K817" s="27" t="str">
        <f t="shared" si="84"/>
        <v>Died</v>
      </c>
      <c r="L817" s="27" t="str">
        <f t="shared" si="85"/>
        <v>Young Adult</v>
      </c>
      <c r="M817" s="28">
        <f t="shared" si="86"/>
        <v>1</v>
      </c>
      <c r="N817" s="27" t="str">
        <f t="shared" si="87"/>
        <v>Alone</v>
      </c>
      <c r="O817" s="27" t="str">
        <f t="shared" si="88"/>
        <v>Low Fare</v>
      </c>
      <c r="P817" s="27" t="str">
        <f t="shared" si="89"/>
        <v>First Class</v>
      </c>
      <c r="Q817" s="27">
        <f t="shared" si="90"/>
        <v>1</v>
      </c>
    </row>
    <row r="818" spans="1:17" x14ac:dyDescent="0.3">
      <c r="A818" s="15">
        <v>817</v>
      </c>
      <c r="B818" s="15">
        <v>0</v>
      </c>
      <c r="C818" s="15">
        <v>3</v>
      </c>
      <c r="D818" s="8" t="s">
        <v>1463</v>
      </c>
      <c r="E818" s="8" t="s">
        <v>14</v>
      </c>
      <c r="F818" s="24">
        <v>23</v>
      </c>
      <c r="G818" s="15">
        <v>0</v>
      </c>
      <c r="H818" s="15">
        <v>0</v>
      </c>
      <c r="I818" s="8" t="s">
        <v>1464</v>
      </c>
      <c r="J818" s="20">
        <v>7.9249999999999998</v>
      </c>
      <c r="K818" s="27" t="str">
        <f t="shared" si="84"/>
        <v>Died</v>
      </c>
      <c r="L818" s="27" t="str">
        <f t="shared" si="85"/>
        <v>Young Adult</v>
      </c>
      <c r="M818" s="28">
        <f t="shared" si="86"/>
        <v>1</v>
      </c>
      <c r="N818" s="27" t="str">
        <f t="shared" si="87"/>
        <v>Alone</v>
      </c>
      <c r="O818" s="27" t="str">
        <f t="shared" si="88"/>
        <v>Low Fare</v>
      </c>
      <c r="P818" s="27" t="str">
        <f t="shared" si="89"/>
        <v>Third Class</v>
      </c>
      <c r="Q818" s="27">
        <f t="shared" si="90"/>
        <v>2</v>
      </c>
    </row>
    <row r="819" spans="1:17" x14ac:dyDescent="0.3">
      <c r="A819" s="16">
        <v>818</v>
      </c>
      <c r="B819" s="16">
        <v>0</v>
      </c>
      <c r="C819" s="16">
        <v>2</v>
      </c>
      <c r="D819" s="11" t="s">
        <v>1465</v>
      </c>
      <c r="E819" s="11" t="s">
        <v>11</v>
      </c>
      <c r="F819" s="25">
        <v>31</v>
      </c>
      <c r="G819" s="16">
        <v>1</v>
      </c>
      <c r="H819" s="16">
        <v>1</v>
      </c>
      <c r="I819" s="11" t="s">
        <v>1466</v>
      </c>
      <c r="J819" s="21">
        <v>37.004199999999997</v>
      </c>
      <c r="K819" s="27" t="str">
        <f t="shared" si="84"/>
        <v>Died</v>
      </c>
      <c r="L819" s="27" t="str">
        <f t="shared" si="85"/>
        <v>Young Adult</v>
      </c>
      <c r="M819" s="28">
        <f t="shared" si="86"/>
        <v>3</v>
      </c>
      <c r="N819" s="27" t="str">
        <f t="shared" si="87"/>
        <v>Small Family</v>
      </c>
      <c r="O819" s="27" t="str">
        <f t="shared" si="88"/>
        <v>Medium Fare</v>
      </c>
      <c r="P819" s="27" t="str">
        <f t="shared" si="89"/>
        <v>Second Class</v>
      </c>
      <c r="Q819" s="27">
        <f t="shared" si="90"/>
        <v>1</v>
      </c>
    </row>
    <row r="820" spans="1:17" x14ac:dyDescent="0.3">
      <c r="A820" s="15">
        <v>819</v>
      </c>
      <c r="B820" s="15">
        <v>0</v>
      </c>
      <c r="C820" s="15">
        <v>3</v>
      </c>
      <c r="D820" s="8" t="s">
        <v>1467</v>
      </c>
      <c r="E820" s="8" t="s">
        <v>11</v>
      </c>
      <c r="F820" s="24">
        <v>43</v>
      </c>
      <c r="G820" s="15">
        <v>0</v>
      </c>
      <c r="H820" s="15">
        <v>0</v>
      </c>
      <c r="I820" s="8" t="s">
        <v>1468</v>
      </c>
      <c r="J820" s="20">
        <v>6.45</v>
      </c>
      <c r="K820" s="27" t="str">
        <f t="shared" si="84"/>
        <v>Died</v>
      </c>
      <c r="L820" s="27" t="str">
        <f t="shared" si="85"/>
        <v>Adult</v>
      </c>
      <c r="M820" s="28">
        <f t="shared" si="86"/>
        <v>1</v>
      </c>
      <c r="N820" s="27" t="str">
        <f t="shared" si="87"/>
        <v>Alone</v>
      </c>
      <c r="O820" s="27" t="str">
        <f t="shared" si="88"/>
        <v>Low Fare</v>
      </c>
      <c r="P820" s="27" t="str">
        <f t="shared" si="89"/>
        <v>Third Class</v>
      </c>
      <c r="Q820" s="27">
        <f t="shared" si="90"/>
        <v>1</v>
      </c>
    </row>
    <row r="821" spans="1:17" x14ac:dyDescent="0.3">
      <c r="A821" s="16">
        <v>820</v>
      </c>
      <c r="B821" s="16">
        <v>0</v>
      </c>
      <c r="C821" s="16">
        <v>3</v>
      </c>
      <c r="D821" s="11" t="s">
        <v>1469</v>
      </c>
      <c r="E821" s="11" t="s">
        <v>11</v>
      </c>
      <c r="F821" s="25">
        <v>10</v>
      </c>
      <c r="G821" s="16">
        <v>3</v>
      </c>
      <c r="H821" s="16">
        <v>2</v>
      </c>
      <c r="I821" s="11" t="s">
        <v>138</v>
      </c>
      <c r="J821" s="21">
        <v>27.9</v>
      </c>
      <c r="K821" s="27" t="str">
        <f t="shared" si="84"/>
        <v>Died</v>
      </c>
      <c r="L821" s="27" t="str">
        <f t="shared" si="85"/>
        <v>Child</v>
      </c>
      <c r="M821" s="28">
        <f t="shared" si="86"/>
        <v>6</v>
      </c>
      <c r="N821" s="27" t="str">
        <f t="shared" si="87"/>
        <v>Large Family</v>
      </c>
      <c r="O821" s="27" t="str">
        <f t="shared" si="88"/>
        <v>Medium Fare</v>
      </c>
      <c r="P821" s="27" t="str">
        <f t="shared" si="89"/>
        <v>Third Class</v>
      </c>
      <c r="Q821" s="27">
        <f t="shared" si="90"/>
        <v>1</v>
      </c>
    </row>
    <row r="822" spans="1:17" x14ac:dyDescent="0.3">
      <c r="A822" s="15">
        <v>821</v>
      </c>
      <c r="B822" s="15">
        <v>1</v>
      </c>
      <c r="C822" s="15">
        <v>1</v>
      </c>
      <c r="D822" s="8" t="s">
        <v>1470</v>
      </c>
      <c r="E822" s="8" t="s">
        <v>14</v>
      </c>
      <c r="F822" s="24">
        <v>52</v>
      </c>
      <c r="G822" s="15">
        <v>1</v>
      </c>
      <c r="H822" s="15">
        <v>1</v>
      </c>
      <c r="I822" s="8" t="s">
        <v>968</v>
      </c>
      <c r="J822" s="20">
        <v>93.5</v>
      </c>
      <c r="K822" s="27" t="str">
        <f t="shared" si="84"/>
        <v>Survived</v>
      </c>
      <c r="L822" s="27" t="str">
        <f t="shared" si="85"/>
        <v>Adult</v>
      </c>
      <c r="M822" s="28">
        <f t="shared" si="86"/>
        <v>3</v>
      </c>
      <c r="N822" s="27" t="str">
        <f t="shared" si="87"/>
        <v>Small Family</v>
      </c>
      <c r="O822" s="27" t="str">
        <f t="shared" si="88"/>
        <v>Medium Fare</v>
      </c>
      <c r="P822" s="27" t="str">
        <f t="shared" si="89"/>
        <v>First Class</v>
      </c>
      <c r="Q822" s="27">
        <f t="shared" si="90"/>
        <v>2</v>
      </c>
    </row>
    <row r="823" spans="1:17" x14ac:dyDescent="0.3">
      <c r="A823" s="16">
        <v>822</v>
      </c>
      <c r="B823" s="16">
        <v>1</v>
      </c>
      <c r="C823" s="16">
        <v>3</v>
      </c>
      <c r="D823" s="11" t="s">
        <v>1471</v>
      </c>
      <c r="E823" s="11" t="s">
        <v>11</v>
      </c>
      <c r="F823" s="25">
        <v>27</v>
      </c>
      <c r="G823" s="16">
        <v>0</v>
      </c>
      <c r="H823" s="16">
        <v>0</v>
      </c>
      <c r="I823" s="11" t="s">
        <v>1472</v>
      </c>
      <c r="J823" s="21">
        <v>8.6624999999999996</v>
      </c>
      <c r="K823" s="27" t="str">
        <f t="shared" si="84"/>
        <v>Survived</v>
      </c>
      <c r="L823" s="27" t="str">
        <f t="shared" si="85"/>
        <v>Young Adult</v>
      </c>
      <c r="M823" s="28">
        <f t="shared" si="86"/>
        <v>1</v>
      </c>
      <c r="N823" s="27" t="str">
        <f t="shared" si="87"/>
        <v>Alone</v>
      </c>
      <c r="O823" s="27" t="str">
        <f t="shared" si="88"/>
        <v>Low Fare</v>
      </c>
      <c r="P823" s="27" t="str">
        <f t="shared" si="89"/>
        <v>Third Class</v>
      </c>
      <c r="Q823" s="27">
        <f t="shared" si="90"/>
        <v>1</v>
      </c>
    </row>
    <row r="824" spans="1:17" x14ac:dyDescent="0.3">
      <c r="A824" s="15">
        <v>823</v>
      </c>
      <c r="B824" s="15">
        <v>0</v>
      </c>
      <c r="C824" s="15">
        <v>1</v>
      </c>
      <c r="D824" s="8" t="s">
        <v>1473</v>
      </c>
      <c r="E824" s="8" t="s">
        <v>11</v>
      </c>
      <c r="F824" s="24">
        <v>38</v>
      </c>
      <c r="G824" s="15">
        <v>0</v>
      </c>
      <c r="H824" s="15">
        <v>0</v>
      </c>
      <c r="I824" s="8" t="s">
        <v>1474</v>
      </c>
      <c r="J824" s="20">
        <v>0</v>
      </c>
      <c r="K824" s="27" t="str">
        <f t="shared" si="84"/>
        <v>Died</v>
      </c>
      <c r="L824" s="27" t="str">
        <f t="shared" si="85"/>
        <v>Adult</v>
      </c>
      <c r="M824" s="28">
        <f t="shared" si="86"/>
        <v>1</v>
      </c>
      <c r="N824" s="27" t="str">
        <f t="shared" si="87"/>
        <v>Alone</v>
      </c>
      <c r="O824" s="27" t="str">
        <f t="shared" si="88"/>
        <v>Low Fare</v>
      </c>
      <c r="P824" s="27" t="str">
        <f t="shared" si="89"/>
        <v>First Class</v>
      </c>
      <c r="Q824" s="27">
        <f t="shared" si="90"/>
        <v>1</v>
      </c>
    </row>
    <row r="825" spans="1:17" x14ac:dyDescent="0.3">
      <c r="A825" s="16">
        <v>824</v>
      </c>
      <c r="B825" s="16">
        <v>1</v>
      </c>
      <c r="C825" s="16">
        <v>3</v>
      </c>
      <c r="D825" s="11" t="s">
        <v>1475</v>
      </c>
      <c r="E825" s="11" t="s">
        <v>14</v>
      </c>
      <c r="F825" s="25">
        <v>27</v>
      </c>
      <c r="G825" s="16">
        <v>0</v>
      </c>
      <c r="H825" s="16">
        <v>1</v>
      </c>
      <c r="I825" s="11" t="s">
        <v>1356</v>
      </c>
      <c r="J825" s="21">
        <v>12.475</v>
      </c>
      <c r="K825" s="27" t="str">
        <f t="shared" si="84"/>
        <v>Survived</v>
      </c>
      <c r="L825" s="27" t="str">
        <f t="shared" si="85"/>
        <v>Young Adult</v>
      </c>
      <c r="M825" s="28">
        <f t="shared" si="86"/>
        <v>2</v>
      </c>
      <c r="N825" s="27" t="str">
        <f t="shared" si="87"/>
        <v>Small Family</v>
      </c>
      <c r="O825" s="27" t="str">
        <f t="shared" si="88"/>
        <v>Low Fare</v>
      </c>
      <c r="P825" s="27" t="str">
        <f t="shared" si="89"/>
        <v>Third Class</v>
      </c>
      <c r="Q825" s="27">
        <f t="shared" si="90"/>
        <v>2</v>
      </c>
    </row>
    <row r="826" spans="1:17" x14ac:dyDescent="0.3">
      <c r="A826" s="15">
        <v>825</v>
      </c>
      <c r="B826" s="15">
        <v>0</v>
      </c>
      <c r="C826" s="15">
        <v>3</v>
      </c>
      <c r="D826" s="8" t="s">
        <v>1476</v>
      </c>
      <c r="E826" s="8" t="s">
        <v>11</v>
      </c>
      <c r="F826" s="24">
        <v>2</v>
      </c>
      <c r="G826" s="15">
        <v>4</v>
      </c>
      <c r="H826" s="15">
        <v>1</v>
      </c>
      <c r="I826" s="8" t="s">
        <v>112</v>
      </c>
      <c r="J826" s="20">
        <v>39.6875</v>
      </c>
      <c r="K826" s="27" t="str">
        <f t="shared" si="84"/>
        <v>Died</v>
      </c>
      <c r="L826" s="27" t="str">
        <f t="shared" si="85"/>
        <v>Child</v>
      </c>
      <c r="M826" s="28">
        <f t="shared" si="86"/>
        <v>6</v>
      </c>
      <c r="N826" s="27" t="str">
        <f t="shared" si="87"/>
        <v>Large Family</v>
      </c>
      <c r="O826" s="27" t="str">
        <f t="shared" si="88"/>
        <v>Medium Fare</v>
      </c>
      <c r="P826" s="27" t="str">
        <f t="shared" si="89"/>
        <v>Third Class</v>
      </c>
      <c r="Q826" s="27">
        <f t="shared" si="90"/>
        <v>1</v>
      </c>
    </row>
    <row r="827" spans="1:17" x14ac:dyDescent="0.3">
      <c r="A827" s="16">
        <v>826</v>
      </c>
      <c r="B827" s="16">
        <v>0</v>
      </c>
      <c r="C827" s="16">
        <v>3</v>
      </c>
      <c r="D827" s="11" t="s">
        <v>1477</v>
      </c>
      <c r="E827" s="11" t="s">
        <v>11</v>
      </c>
      <c r="F827" s="25">
        <v>26</v>
      </c>
      <c r="G827" s="16">
        <v>0</v>
      </c>
      <c r="H827" s="16">
        <v>0</v>
      </c>
      <c r="I827" s="11" t="s">
        <v>1478</v>
      </c>
      <c r="J827" s="21">
        <v>6.95</v>
      </c>
      <c r="K827" s="27" t="str">
        <f t="shared" si="84"/>
        <v>Died</v>
      </c>
      <c r="L827" s="27" t="str">
        <f t="shared" si="85"/>
        <v>Young Adult</v>
      </c>
      <c r="M827" s="28">
        <f t="shared" si="86"/>
        <v>1</v>
      </c>
      <c r="N827" s="27" t="str">
        <f t="shared" si="87"/>
        <v>Alone</v>
      </c>
      <c r="O827" s="27" t="str">
        <f t="shared" si="88"/>
        <v>Low Fare</v>
      </c>
      <c r="P827" s="27" t="str">
        <f t="shared" si="89"/>
        <v>Third Class</v>
      </c>
      <c r="Q827" s="27">
        <f t="shared" si="90"/>
        <v>1</v>
      </c>
    </row>
    <row r="828" spans="1:17" x14ac:dyDescent="0.3">
      <c r="A828" s="15">
        <v>827</v>
      </c>
      <c r="B828" s="15">
        <v>0</v>
      </c>
      <c r="C828" s="15">
        <v>3</v>
      </c>
      <c r="D828" s="8" t="s">
        <v>1479</v>
      </c>
      <c r="E828" s="8" t="s">
        <v>11</v>
      </c>
      <c r="F828" s="24">
        <v>26</v>
      </c>
      <c r="G828" s="15">
        <v>0</v>
      </c>
      <c r="H828" s="15">
        <v>0</v>
      </c>
      <c r="I828" s="8" t="s">
        <v>159</v>
      </c>
      <c r="J828" s="20">
        <v>56.495800000000003</v>
      </c>
      <c r="K828" s="27" t="str">
        <f t="shared" si="84"/>
        <v>Died</v>
      </c>
      <c r="L828" s="27" t="str">
        <f t="shared" si="85"/>
        <v>Young Adult</v>
      </c>
      <c r="M828" s="28">
        <f t="shared" si="86"/>
        <v>1</v>
      </c>
      <c r="N828" s="27" t="str">
        <f t="shared" si="87"/>
        <v>Alone</v>
      </c>
      <c r="O828" s="27" t="str">
        <f t="shared" si="88"/>
        <v>Medium Fare</v>
      </c>
      <c r="P828" s="27" t="str">
        <f t="shared" si="89"/>
        <v>Third Class</v>
      </c>
      <c r="Q828" s="27">
        <f t="shared" si="90"/>
        <v>1</v>
      </c>
    </row>
    <row r="829" spans="1:17" x14ac:dyDescent="0.3">
      <c r="A829" s="16">
        <v>828</v>
      </c>
      <c r="B829" s="16">
        <v>1</v>
      </c>
      <c r="C829" s="16">
        <v>2</v>
      </c>
      <c r="D829" s="11" t="s">
        <v>1480</v>
      </c>
      <c r="E829" s="11" t="s">
        <v>11</v>
      </c>
      <c r="F829" s="25">
        <v>1</v>
      </c>
      <c r="G829" s="16">
        <v>0</v>
      </c>
      <c r="H829" s="16">
        <v>2</v>
      </c>
      <c r="I829" s="11" t="s">
        <v>1466</v>
      </c>
      <c r="J829" s="21">
        <v>37.004199999999997</v>
      </c>
      <c r="K829" s="27" t="str">
        <f t="shared" si="84"/>
        <v>Survived</v>
      </c>
      <c r="L829" s="27" t="str">
        <f t="shared" si="85"/>
        <v>Child</v>
      </c>
      <c r="M829" s="28">
        <f t="shared" si="86"/>
        <v>3</v>
      </c>
      <c r="N829" s="27" t="str">
        <f t="shared" si="87"/>
        <v>Small Family</v>
      </c>
      <c r="O829" s="27" t="str">
        <f t="shared" si="88"/>
        <v>Medium Fare</v>
      </c>
      <c r="P829" s="27" t="str">
        <f t="shared" si="89"/>
        <v>Second Class</v>
      </c>
      <c r="Q829" s="27">
        <f t="shared" si="90"/>
        <v>1</v>
      </c>
    </row>
    <row r="830" spans="1:17" x14ac:dyDescent="0.3">
      <c r="A830" s="15">
        <v>829</v>
      </c>
      <c r="B830" s="15">
        <v>1</v>
      </c>
      <c r="C830" s="15">
        <v>3</v>
      </c>
      <c r="D830" s="8" t="s">
        <v>1481</v>
      </c>
      <c r="E830" s="8" t="s">
        <v>11</v>
      </c>
      <c r="F830" s="24">
        <v>26</v>
      </c>
      <c r="G830" s="15">
        <v>0</v>
      </c>
      <c r="H830" s="15">
        <v>0</v>
      </c>
      <c r="I830" s="8" t="s">
        <v>1482</v>
      </c>
      <c r="J830" s="20">
        <v>7.75</v>
      </c>
      <c r="K830" s="27" t="str">
        <f t="shared" si="84"/>
        <v>Survived</v>
      </c>
      <c r="L830" s="27" t="str">
        <f t="shared" si="85"/>
        <v>Young Adult</v>
      </c>
      <c r="M830" s="28">
        <f t="shared" si="86"/>
        <v>1</v>
      </c>
      <c r="N830" s="27" t="str">
        <f t="shared" si="87"/>
        <v>Alone</v>
      </c>
      <c r="O830" s="27" t="str">
        <f t="shared" si="88"/>
        <v>Low Fare</v>
      </c>
      <c r="P830" s="27" t="str">
        <f t="shared" si="89"/>
        <v>Third Class</v>
      </c>
      <c r="Q830" s="27">
        <f t="shared" si="90"/>
        <v>1</v>
      </c>
    </row>
    <row r="831" spans="1:17" x14ac:dyDescent="0.3">
      <c r="A831" s="16">
        <v>830</v>
      </c>
      <c r="B831" s="16">
        <v>1</v>
      </c>
      <c r="C831" s="16">
        <v>1</v>
      </c>
      <c r="D831" s="11" t="s">
        <v>1483</v>
      </c>
      <c r="E831" s="11" t="s">
        <v>14</v>
      </c>
      <c r="F831" s="25">
        <v>62</v>
      </c>
      <c r="G831" s="16">
        <v>0</v>
      </c>
      <c r="H831" s="16">
        <v>0</v>
      </c>
      <c r="I831" s="11" t="s">
        <v>134</v>
      </c>
      <c r="J831" s="21">
        <v>80</v>
      </c>
      <c r="K831" s="27" t="str">
        <f t="shared" si="84"/>
        <v>Survived</v>
      </c>
      <c r="L831" s="27" t="str">
        <f t="shared" si="85"/>
        <v>Senior</v>
      </c>
      <c r="M831" s="28">
        <f t="shared" si="86"/>
        <v>1</v>
      </c>
      <c r="N831" s="27" t="str">
        <f t="shared" si="87"/>
        <v>Alone</v>
      </c>
      <c r="O831" s="27" t="str">
        <f t="shared" si="88"/>
        <v>Medium Fare</v>
      </c>
      <c r="P831" s="27" t="str">
        <f t="shared" si="89"/>
        <v>First Class</v>
      </c>
      <c r="Q831" s="27">
        <f t="shared" si="90"/>
        <v>2</v>
      </c>
    </row>
    <row r="832" spans="1:17" x14ac:dyDescent="0.3">
      <c r="A832" s="15">
        <v>831</v>
      </c>
      <c r="B832" s="15">
        <v>1</v>
      </c>
      <c r="C832" s="15">
        <v>3</v>
      </c>
      <c r="D832" s="8" t="s">
        <v>1484</v>
      </c>
      <c r="E832" s="8" t="s">
        <v>14</v>
      </c>
      <c r="F832" s="24">
        <v>15</v>
      </c>
      <c r="G832" s="15">
        <v>1</v>
      </c>
      <c r="H832" s="15">
        <v>0</v>
      </c>
      <c r="I832" s="8" t="s">
        <v>1138</v>
      </c>
      <c r="J832" s="20">
        <v>14.4542</v>
      </c>
      <c r="K832" s="27" t="str">
        <f t="shared" si="84"/>
        <v>Survived</v>
      </c>
      <c r="L832" s="27" t="str">
        <f t="shared" si="85"/>
        <v>Child</v>
      </c>
      <c r="M832" s="28">
        <f t="shared" si="86"/>
        <v>2</v>
      </c>
      <c r="N832" s="27" t="str">
        <f t="shared" si="87"/>
        <v>Small Family</v>
      </c>
      <c r="O832" s="27" t="str">
        <f t="shared" si="88"/>
        <v>Low Fare</v>
      </c>
      <c r="P832" s="27" t="str">
        <f t="shared" si="89"/>
        <v>Third Class</v>
      </c>
      <c r="Q832" s="27">
        <f t="shared" si="90"/>
        <v>2</v>
      </c>
    </row>
    <row r="833" spans="1:17" x14ac:dyDescent="0.3">
      <c r="A833" s="16">
        <v>832</v>
      </c>
      <c r="B833" s="16">
        <v>1</v>
      </c>
      <c r="C833" s="16">
        <v>2</v>
      </c>
      <c r="D833" s="11" t="s">
        <v>1485</v>
      </c>
      <c r="E833" s="11" t="s">
        <v>11</v>
      </c>
      <c r="F833" s="25">
        <v>0.83</v>
      </c>
      <c r="G833" s="16">
        <v>1</v>
      </c>
      <c r="H833" s="16">
        <v>1</v>
      </c>
      <c r="I833" s="11" t="s">
        <v>768</v>
      </c>
      <c r="J833" s="21">
        <v>18.75</v>
      </c>
      <c r="K833" s="27" t="str">
        <f t="shared" si="84"/>
        <v>Survived</v>
      </c>
      <c r="L833" s="27" t="str">
        <f t="shared" si="85"/>
        <v>Child</v>
      </c>
      <c r="M833" s="28">
        <f t="shared" si="86"/>
        <v>3</v>
      </c>
      <c r="N833" s="27" t="str">
        <f t="shared" si="87"/>
        <v>Small Family</v>
      </c>
      <c r="O833" s="27" t="str">
        <f t="shared" si="88"/>
        <v>Low Fare</v>
      </c>
      <c r="P833" s="27" t="str">
        <f t="shared" si="89"/>
        <v>Second Class</v>
      </c>
      <c r="Q833" s="27">
        <f t="shared" si="90"/>
        <v>1</v>
      </c>
    </row>
    <row r="834" spans="1:17" x14ac:dyDescent="0.3">
      <c r="A834" s="15">
        <v>833</v>
      </c>
      <c r="B834" s="15">
        <v>0</v>
      </c>
      <c r="C834" s="15">
        <v>3</v>
      </c>
      <c r="D834" s="8" t="s">
        <v>1486</v>
      </c>
      <c r="E834" s="8" t="s">
        <v>11</v>
      </c>
      <c r="F834" s="24">
        <v>26</v>
      </c>
      <c r="G834" s="15">
        <v>0</v>
      </c>
      <c r="H834" s="15">
        <v>0</v>
      </c>
      <c r="I834" s="8" t="s">
        <v>1487</v>
      </c>
      <c r="J834" s="20">
        <v>7.2291999999999996</v>
      </c>
      <c r="K834" s="27" t="str">
        <f t="shared" ref="K834:K892" si="91">IF(B834=1, "Survived", "Died")</f>
        <v>Died</v>
      </c>
      <c r="L834" s="27" t="str">
        <f t="shared" ref="L834:L892" si="92">IF(F834&lt;18, "Child", IF(F834&lt;35, "Young Adult", IF(F834&lt;60, "Adult", "Senior")))</f>
        <v>Young Adult</v>
      </c>
      <c r="M834" s="28">
        <f t="shared" ref="M834:M892" si="93">G834+H834+1</f>
        <v>1</v>
      </c>
      <c r="N834" s="27" t="str">
        <f t="shared" ref="N834:N892" si="94">IF(M834=1,"Alone",IF(M834&lt;=4,"Small Family","Large Family"))</f>
        <v>Alone</v>
      </c>
      <c r="O834" s="27" t="str">
        <f t="shared" ref="O834:O892" si="95">IF(J834&lt;25, "Low Fare", IF(J834&lt;=100, "Medium Fare", "High Fare"))</f>
        <v>Low Fare</v>
      </c>
      <c r="P834" s="27" t="str">
        <f t="shared" ref="P834:P892" si="96">IF(C834=1, "First Class", IF(C834=2, "Second Class", "Third Class"))</f>
        <v>Third Class</v>
      </c>
      <c r="Q834" s="27">
        <f t="shared" ref="Q834:Q892" si="97">IF(E834="male", 1, 2)</f>
        <v>1</v>
      </c>
    </row>
    <row r="835" spans="1:17" x14ac:dyDescent="0.3">
      <c r="A835" s="16">
        <v>834</v>
      </c>
      <c r="B835" s="16">
        <v>0</v>
      </c>
      <c r="C835" s="16">
        <v>3</v>
      </c>
      <c r="D835" s="11" t="s">
        <v>1488</v>
      </c>
      <c r="E835" s="11" t="s">
        <v>11</v>
      </c>
      <c r="F835" s="25">
        <v>23</v>
      </c>
      <c r="G835" s="16">
        <v>0</v>
      </c>
      <c r="H835" s="16">
        <v>0</v>
      </c>
      <c r="I835" s="11" t="s">
        <v>1489</v>
      </c>
      <c r="J835" s="21">
        <v>7.8541999999999996</v>
      </c>
      <c r="K835" s="27" t="str">
        <f t="shared" si="91"/>
        <v>Died</v>
      </c>
      <c r="L835" s="27" t="str">
        <f t="shared" si="92"/>
        <v>Young Adult</v>
      </c>
      <c r="M835" s="28">
        <f t="shared" si="93"/>
        <v>1</v>
      </c>
      <c r="N835" s="27" t="str">
        <f t="shared" si="94"/>
        <v>Alone</v>
      </c>
      <c r="O835" s="27" t="str">
        <f t="shared" si="95"/>
        <v>Low Fare</v>
      </c>
      <c r="P835" s="27" t="str">
        <f t="shared" si="96"/>
        <v>Third Class</v>
      </c>
      <c r="Q835" s="27">
        <f t="shared" si="97"/>
        <v>1</v>
      </c>
    </row>
    <row r="836" spans="1:17" x14ac:dyDescent="0.3">
      <c r="A836" s="15">
        <v>835</v>
      </c>
      <c r="B836" s="15">
        <v>0</v>
      </c>
      <c r="C836" s="15">
        <v>3</v>
      </c>
      <c r="D836" s="8" t="s">
        <v>1490</v>
      </c>
      <c r="E836" s="8" t="s">
        <v>11</v>
      </c>
      <c r="F836" s="24">
        <v>18</v>
      </c>
      <c r="G836" s="15">
        <v>0</v>
      </c>
      <c r="H836" s="15">
        <v>0</v>
      </c>
      <c r="I836" s="8" t="s">
        <v>1491</v>
      </c>
      <c r="J836" s="20">
        <v>8.3000000000000007</v>
      </c>
      <c r="K836" s="27" t="str">
        <f t="shared" si="91"/>
        <v>Died</v>
      </c>
      <c r="L836" s="27" t="str">
        <f t="shared" si="92"/>
        <v>Young Adult</v>
      </c>
      <c r="M836" s="28">
        <f t="shared" si="93"/>
        <v>1</v>
      </c>
      <c r="N836" s="27" t="str">
        <f t="shared" si="94"/>
        <v>Alone</v>
      </c>
      <c r="O836" s="27" t="str">
        <f t="shared" si="95"/>
        <v>Low Fare</v>
      </c>
      <c r="P836" s="27" t="str">
        <f t="shared" si="96"/>
        <v>Third Class</v>
      </c>
      <c r="Q836" s="27">
        <f t="shared" si="97"/>
        <v>1</v>
      </c>
    </row>
    <row r="837" spans="1:17" x14ac:dyDescent="0.3">
      <c r="A837" s="16">
        <v>836</v>
      </c>
      <c r="B837" s="16">
        <v>1</v>
      </c>
      <c r="C837" s="16">
        <v>1</v>
      </c>
      <c r="D837" s="11" t="s">
        <v>1492</v>
      </c>
      <c r="E837" s="11" t="s">
        <v>14</v>
      </c>
      <c r="F837" s="25">
        <v>39</v>
      </c>
      <c r="G837" s="16">
        <v>1</v>
      </c>
      <c r="H837" s="16">
        <v>1</v>
      </c>
      <c r="I837" s="11" t="s">
        <v>1493</v>
      </c>
      <c r="J837" s="21">
        <v>83.158299999999997</v>
      </c>
      <c r="K837" s="27" t="str">
        <f t="shared" si="91"/>
        <v>Survived</v>
      </c>
      <c r="L837" s="27" t="str">
        <f t="shared" si="92"/>
        <v>Adult</v>
      </c>
      <c r="M837" s="28">
        <f t="shared" si="93"/>
        <v>3</v>
      </c>
      <c r="N837" s="27" t="str">
        <f t="shared" si="94"/>
        <v>Small Family</v>
      </c>
      <c r="O837" s="27" t="str">
        <f t="shared" si="95"/>
        <v>Medium Fare</v>
      </c>
      <c r="P837" s="27" t="str">
        <f t="shared" si="96"/>
        <v>First Class</v>
      </c>
      <c r="Q837" s="27">
        <f t="shared" si="97"/>
        <v>2</v>
      </c>
    </row>
    <row r="838" spans="1:17" x14ac:dyDescent="0.3">
      <c r="A838" s="15">
        <v>837</v>
      </c>
      <c r="B838" s="15">
        <v>0</v>
      </c>
      <c r="C838" s="15">
        <v>3</v>
      </c>
      <c r="D838" s="8" t="s">
        <v>1494</v>
      </c>
      <c r="E838" s="8" t="s">
        <v>11</v>
      </c>
      <c r="F838" s="24">
        <v>21</v>
      </c>
      <c r="G838" s="15">
        <v>0</v>
      </c>
      <c r="H838" s="15">
        <v>0</v>
      </c>
      <c r="I838" s="8" t="s">
        <v>1495</v>
      </c>
      <c r="J838" s="20">
        <v>8.6624999999999996</v>
      </c>
      <c r="K838" s="27" t="str">
        <f t="shared" si="91"/>
        <v>Died</v>
      </c>
      <c r="L838" s="27" t="str">
        <f t="shared" si="92"/>
        <v>Young Adult</v>
      </c>
      <c r="M838" s="28">
        <f t="shared" si="93"/>
        <v>1</v>
      </c>
      <c r="N838" s="27" t="str">
        <f t="shared" si="94"/>
        <v>Alone</v>
      </c>
      <c r="O838" s="27" t="str">
        <f t="shared" si="95"/>
        <v>Low Fare</v>
      </c>
      <c r="P838" s="27" t="str">
        <f t="shared" si="96"/>
        <v>Third Class</v>
      </c>
      <c r="Q838" s="27">
        <f t="shared" si="97"/>
        <v>1</v>
      </c>
    </row>
    <row r="839" spans="1:17" x14ac:dyDescent="0.3">
      <c r="A839" s="16">
        <v>838</v>
      </c>
      <c r="B839" s="16">
        <v>0</v>
      </c>
      <c r="C839" s="16">
        <v>3</v>
      </c>
      <c r="D839" s="11" t="s">
        <v>1496</v>
      </c>
      <c r="E839" s="11" t="s">
        <v>11</v>
      </c>
      <c r="F839" s="25">
        <v>26</v>
      </c>
      <c r="G839" s="16">
        <v>0</v>
      </c>
      <c r="H839" s="16">
        <v>0</v>
      </c>
      <c r="I839" s="11" t="s">
        <v>1497</v>
      </c>
      <c r="J839" s="21">
        <v>8.0500000000000007</v>
      </c>
      <c r="K839" s="27" t="str">
        <f t="shared" si="91"/>
        <v>Died</v>
      </c>
      <c r="L839" s="27" t="str">
        <f t="shared" si="92"/>
        <v>Young Adult</v>
      </c>
      <c r="M839" s="28">
        <f t="shared" si="93"/>
        <v>1</v>
      </c>
      <c r="N839" s="27" t="str">
        <f t="shared" si="94"/>
        <v>Alone</v>
      </c>
      <c r="O839" s="27" t="str">
        <f t="shared" si="95"/>
        <v>Low Fare</v>
      </c>
      <c r="P839" s="27" t="str">
        <f t="shared" si="96"/>
        <v>Third Class</v>
      </c>
      <c r="Q839" s="27">
        <f t="shared" si="97"/>
        <v>1</v>
      </c>
    </row>
    <row r="840" spans="1:17" x14ac:dyDescent="0.3">
      <c r="A840" s="15">
        <v>839</v>
      </c>
      <c r="B840" s="15">
        <v>1</v>
      </c>
      <c r="C840" s="15">
        <v>3</v>
      </c>
      <c r="D840" s="8" t="s">
        <v>1498</v>
      </c>
      <c r="E840" s="8" t="s">
        <v>11</v>
      </c>
      <c r="F840" s="24">
        <v>32</v>
      </c>
      <c r="G840" s="15">
        <v>0</v>
      </c>
      <c r="H840" s="15">
        <v>0</v>
      </c>
      <c r="I840" s="8" t="s">
        <v>159</v>
      </c>
      <c r="J840" s="20">
        <v>56.495800000000003</v>
      </c>
      <c r="K840" s="27" t="str">
        <f t="shared" si="91"/>
        <v>Survived</v>
      </c>
      <c r="L840" s="27" t="str">
        <f t="shared" si="92"/>
        <v>Young Adult</v>
      </c>
      <c r="M840" s="28">
        <f t="shared" si="93"/>
        <v>1</v>
      </c>
      <c r="N840" s="27" t="str">
        <f t="shared" si="94"/>
        <v>Alone</v>
      </c>
      <c r="O840" s="27" t="str">
        <f t="shared" si="95"/>
        <v>Medium Fare</v>
      </c>
      <c r="P840" s="27" t="str">
        <f t="shared" si="96"/>
        <v>Third Class</v>
      </c>
      <c r="Q840" s="27">
        <f t="shared" si="97"/>
        <v>1</v>
      </c>
    </row>
    <row r="841" spans="1:17" x14ac:dyDescent="0.3">
      <c r="A841" s="16">
        <v>840</v>
      </c>
      <c r="B841" s="16">
        <v>1</v>
      </c>
      <c r="C841" s="16">
        <v>1</v>
      </c>
      <c r="D841" s="11" t="s">
        <v>1499</v>
      </c>
      <c r="E841" s="11" t="s">
        <v>11</v>
      </c>
      <c r="F841" s="25">
        <v>26</v>
      </c>
      <c r="G841" s="16">
        <v>0</v>
      </c>
      <c r="H841" s="16">
        <v>0</v>
      </c>
      <c r="I841" s="11" t="s">
        <v>1500</v>
      </c>
      <c r="J841" s="21">
        <v>29.7</v>
      </c>
      <c r="K841" s="27" t="str">
        <f t="shared" si="91"/>
        <v>Survived</v>
      </c>
      <c r="L841" s="27" t="str">
        <f t="shared" si="92"/>
        <v>Young Adult</v>
      </c>
      <c r="M841" s="28">
        <f t="shared" si="93"/>
        <v>1</v>
      </c>
      <c r="N841" s="27" t="str">
        <f t="shared" si="94"/>
        <v>Alone</v>
      </c>
      <c r="O841" s="27" t="str">
        <f t="shared" si="95"/>
        <v>Medium Fare</v>
      </c>
      <c r="P841" s="27" t="str">
        <f t="shared" si="96"/>
        <v>First Class</v>
      </c>
      <c r="Q841" s="27">
        <f t="shared" si="97"/>
        <v>1</v>
      </c>
    </row>
    <row r="842" spans="1:17" x14ac:dyDescent="0.3">
      <c r="A842" s="15">
        <v>841</v>
      </c>
      <c r="B842" s="15">
        <v>0</v>
      </c>
      <c r="C842" s="15">
        <v>3</v>
      </c>
      <c r="D842" s="8" t="s">
        <v>1501</v>
      </c>
      <c r="E842" s="8" t="s">
        <v>11</v>
      </c>
      <c r="F842" s="24">
        <v>20</v>
      </c>
      <c r="G842" s="15">
        <v>0</v>
      </c>
      <c r="H842" s="15">
        <v>0</v>
      </c>
      <c r="I842" s="8" t="s">
        <v>1502</v>
      </c>
      <c r="J842" s="20">
        <v>7.9249999999999998</v>
      </c>
      <c r="K842" s="27" t="str">
        <f t="shared" si="91"/>
        <v>Died</v>
      </c>
      <c r="L842" s="27" t="str">
        <f t="shared" si="92"/>
        <v>Young Adult</v>
      </c>
      <c r="M842" s="28">
        <f t="shared" si="93"/>
        <v>1</v>
      </c>
      <c r="N842" s="27" t="str">
        <f t="shared" si="94"/>
        <v>Alone</v>
      </c>
      <c r="O842" s="27" t="str">
        <f t="shared" si="95"/>
        <v>Low Fare</v>
      </c>
      <c r="P842" s="27" t="str">
        <f t="shared" si="96"/>
        <v>Third Class</v>
      </c>
      <c r="Q842" s="27">
        <f t="shared" si="97"/>
        <v>1</v>
      </c>
    </row>
    <row r="843" spans="1:17" x14ac:dyDescent="0.3">
      <c r="A843" s="16">
        <v>842</v>
      </c>
      <c r="B843" s="16">
        <v>0</v>
      </c>
      <c r="C843" s="16">
        <v>2</v>
      </c>
      <c r="D843" s="11" t="s">
        <v>1503</v>
      </c>
      <c r="E843" s="11" t="s">
        <v>11</v>
      </c>
      <c r="F843" s="25">
        <v>16</v>
      </c>
      <c r="G843" s="16">
        <v>0</v>
      </c>
      <c r="H843" s="16">
        <v>0</v>
      </c>
      <c r="I843" s="11" t="s">
        <v>1391</v>
      </c>
      <c r="J843" s="21">
        <v>10.5</v>
      </c>
      <c r="K843" s="27" t="str">
        <f t="shared" si="91"/>
        <v>Died</v>
      </c>
      <c r="L843" s="27" t="str">
        <f t="shared" si="92"/>
        <v>Child</v>
      </c>
      <c r="M843" s="28">
        <f t="shared" si="93"/>
        <v>1</v>
      </c>
      <c r="N843" s="27" t="str">
        <f t="shared" si="94"/>
        <v>Alone</v>
      </c>
      <c r="O843" s="27" t="str">
        <f t="shared" si="95"/>
        <v>Low Fare</v>
      </c>
      <c r="P843" s="27" t="str">
        <f t="shared" si="96"/>
        <v>Second Class</v>
      </c>
      <c r="Q843" s="27">
        <f t="shared" si="97"/>
        <v>1</v>
      </c>
    </row>
    <row r="844" spans="1:17" x14ac:dyDescent="0.3">
      <c r="A844" s="15">
        <v>843</v>
      </c>
      <c r="B844" s="15">
        <v>1</v>
      </c>
      <c r="C844" s="15">
        <v>1</v>
      </c>
      <c r="D844" s="8" t="s">
        <v>1504</v>
      </c>
      <c r="E844" s="8" t="s">
        <v>14</v>
      </c>
      <c r="F844" s="24">
        <v>30</v>
      </c>
      <c r="G844" s="15">
        <v>0</v>
      </c>
      <c r="H844" s="15">
        <v>0</v>
      </c>
      <c r="I844" s="8" t="s">
        <v>524</v>
      </c>
      <c r="J844" s="20">
        <v>31</v>
      </c>
      <c r="K844" s="27" t="str">
        <f t="shared" si="91"/>
        <v>Survived</v>
      </c>
      <c r="L844" s="27" t="str">
        <f t="shared" si="92"/>
        <v>Young Adult</v>
      </c>
      <c r="M844" s="28">
        <f t="shared" si="93"/>
        <v>1</v>
      </c>
      <c r="N844" s="27" t="str">
        <f t="shared" si="94"/>
        <v>Alone</v>
      </c>
      <c r="O844" s="27" t="str">
        <f t="shared" si="95"/>
        <v>Medium Fare</v>
      </c>
      <c r="P844" s="27" t="str">
        <f t="shared" si="96"/>
        <v>First Class</v>
      </c>
      <c r="Q844" s="27">
        <f t="shared" si="97"/>
        <v>2</v>
      </c>
    </row>
    <row r="845" spans="1:17" x14ac:dyDescent="0.3">
      <c r="A845" s="16">
        <v>844</v>
      </c>
      <c r="B845" s="16">
        <v>0</v>
      </c>
      <c r="C845" s="16">
        <v>3</v>
      </c>
      <c r="D845" s="11" t="s">
        <v>1505</v>
      </c>
      <c r="E845" s="11" t="s">
        <v>11</v>
      </c>
      <c r="F845" s="25">
        <v>34.5</v>
      </c>
      <c r="G845" s="16">
        <v>0</v>
      </c>
      <c r="H845" s="16">
        <v>0</v>
      </c>
      <c r="I845" s="11" t="s">
        <v>1506</v>
      </c>
      <c r="J845" s="21">
        <v>6.4375</v>
      </c>
      <c r="K845" s="27" t="str">
        <f t="shared" si="91"/>
        <v>Died</v>
      </c>
      <c r="L845" s="27" t="str">
        <f t="shared" si="92"/>
        <v>Young Adult</v>
      </c>
      <c r="M845" s="28">
        <f t="shared" si="93"/>
        <v>1</v>
      </c>
      <c r="N845" s="27" t="str">
        <f t="shared" si="94"/>
        <v>Alone</v>
      </c>
      <c r="O845" s="27" t="str">
        <f t="shared" si="95"/>
        <v>Low Fare</v>
      </c>
      <c r="P845" s="27" t="str">
        <f t="shared" si="96"/>
        <v>Third Class</v>
      </c>
      <c r="Q845" s="27">
        <f t="shared" si="97"/>
        <v>1</v>
      </c>
    </row>
    <row r="846" spans="1:17" x14ac:dyDescent="0.3">
      <c r="A846" s="15">
        <v>845</v>
      </c>
      <c r="B846" s="15">
        <v>0</v>
      </c>
      <c r="C846" s="15">
        <v>3</v>
      </c>
      <c r="D846" s="8" t="s">
        <v>1507</v>
      </c>
      <c r="E846" s="8" t="s">
        <v>11</v>
      </c>
      <c r="F846" s="24">
        <v>17</v>
      </c>
      <c r="G846" s="15">
        <v>0</v>
      </c>
      <c r="H846" s="15">
        <v>0</v>
      </c>
      <c r="I846" s="8" t="s">
        <v>1508</v>
      </c>
      <c r="J846" s="20">
        <v>8.6624999999999996</v>
      </c>
      <c r="K846" s="27" t="str">
        <f t="shared" si="91"/>
        <v>Died</v>
      </c>
      <c r="L846" s="27" t="str">
        <f t="shared" si="92"/>
        <v>Child</v>
      </c>
      <c r="M846" s="28">
        <f t="shared" si="93"/>
        <v>1</v>
      </c>
      <c r="N846" s="27" t="str">
        <f t="shared" si="94"/>
        <v>Alone</v>
      </c>
      <c r="O846" s="27" t="str">
        <f t="shared" si="95"/>
        <v>Low Fare</v>
      </c>
      <c r="P846" s="27" t="str">
        <f t="shared" si="96"/>
        <v>Third Class</v>
      </c>
      <c r="Q846" s="27">
        <f t="shared" si="97"/>
        <v>1</v>
      </c>
    </row>
    <row r="847" spans="1:17" x14ac:dyDescent="0.3">
      <c r="A847" s="16">
        <v>846</v>
      </c>
      <c r="B847" s="16">
        <v>0</v>
      </c>
      <c r="C847" s="16">
        <v>3</v>
      </c>
      <c r="D847" s="11" t="s">
        <v>1509</v>
      </c>
      <c r="E847" s="11" t="s">
        <v>11</v>
      </c>
      <c r="F847" s="25">
        <v>42</v>
      </c>
      <c r="G847" s="16">
        <v>0</v>
      </c>
      <c r="H847" s="16">
        <v>0</v>
      </c>
      <c r="I847" s="11" t="s">
        <v>1510</v>
      </c>
      <c r="J847" s="21">
        <v>7.55</v>
      </c>
      <c r="K847" s="27" t="str">
        <f t="shared" si="91"/>
        <v>Died</v>
      </c>
      <c r="L847" s="27" t="str">
        <f t="shared" si="92"/>
        <v>Adult</v>
      </c>
      <c r="M847" s="28">
        <f t="shared" si="93"/>
        <v>1</v>
      </c>
      <c r="N847" s="27" t="str">
        <f t="shared" si="94"/>
        <v>Alone</v>
      </c>
      <c r="O847" s="27" t="str">
        <f t="shared" si="95"/>
        <v>Low Fare</v>
      </c>
      <c r="P847" s="27" t="str">
        <f t="shared" si="96"/>
        <v>Third Class</v>
      </c>
      <c r="Q847" s="27">
        <f t="shared" si="97"/>
        <v>1</v>
      </c>
    </row>
    <row r="848" spans="1:17" x14ac:dyDescent="0.3">
      <c r="A848" s="15">
        <v>847</v>
      </c>
      <c r="B848" s="15">
        <v>0</v>
      </c>
      <c r="C848" s="15">
        <v>3</v>
      </c>
      <c r="D848" s="8" t="s">
        <v>1511</v>
      </c>
      <c r="E848" s="8" t="s">
        <v>11</v>
      </c>
      <c r="F848" s="24">
        <v>26</v>
      </c>
      <c r="G848" s="15">
        <v>8</v>
      </c>
      <c r="H848" s="15">
        <v>2</v>
      </c>
      <c r="I848" s="8" t="s">
        <v>320</v>
      </c>
      <c r="J848" s="20">
        <v>69.55</v>
      </c>
      <c r="K848" s="27" t="str">
        <f t="shared" si="91"/>
        <v>Died</v>
      </c>
      <c r="L848" s="27" t="str">
        <f t="shared" si="92"/>
        <v>Young Adult</v>
      </c>
      <c r="M848" s="28">
        <f t="shared" si="93"/>
        <v>11</v>
      </c>
      <c r="N848" s="27" t="str">
        <f t="shared" si="94"/>
        <v>Large Family</v>
      </c>
      <c r="O848" s="27" t="str">
        <f t="shared" si="95"/>
        <v>Medium Fare</v>
      </c>
      <c r="P848" s="27" t="str">
        <f t="shared" si="96"/>
        <v>Third Class</v>
      </c>
      <c r="Q848" s="27">
        <f t="shared" si="97"/>
        <v>1</v>
      </c>
    </row>
    <row r="849" spans="1:17" x14ac:dyDescent="0.3">
      <c r="A849" s="16">
        <v>848</v>
      </c>
      <c r="B849" s="16">
        <v>0</v>
      </c>
      <c r="C849" s="16">
        <v>3</v>
      </c>
      <c r="D849" s="11" t="s">
        <v>1512</v>
      </c>
      <c r="E849" s="11" t="s">
        <v>11</v>
      </c>
      <c r="F849" s="25">
        <v>35</v>
      </c>
      <c r="G849" s="16">
        <v>0</v>
      </c>
      <c r="H849" s="16">
        <v>0</v>
      </c>
      <c r="I849" s="11" t="s">
        <v>1513</v>
      </c>
      <c r="J849" s="21">
        <v>7.8958000000000004</v>
      </c>
      <c r="K849" s="27" t="str">
        <f t="shared" si="91"/>
        <v>Died</v>
      </c>
      <c r="L849" s="27" t="str">
        <f t="shared" si="92"/>
        <v>Adult</v>
      </c>
      <c r="M849" s="28">
        <f t="shared" si="93"/>
        <v>1</v>
      </c>
      <c r="N849" s="27" t="str">
        <f t="shared" si="94"/>
        <v>Alone</v>
      </c>
      <c r="O849" s="27" t="str">
        <f t="shared" si="95"/>
        <v>Low Fare</v>
      </c>
      <c r="P849" s="27" t="str">
        <f t="shared" si="96"/>
        <v>Third Class</v>
      </c>
      <c r="Q849" s="27">
        <f t="shared" si="97"/>
        <v>1</v>
      </c>
    </row>
    <row r="850" spans="1:17" x14ac:dyDescent="0.3">
      <c r="A850" s="15">
        <v>849</v>
      </c>
      <c r="B850" s="15">
        <v>0</v>
      </c>
      <c r="C850" s="15">
        <v>2</v>
      </c>
      <c r="D850" s="8" t="s">
        <v>1514</v>
      </c>
      <c r="E850" s="8" t="s">
        <v>11</v>
      </c>
      <c r="F850" s="24">
        <v>28</v>
      </c>
      <c r="G850" s="15">
        <v>0</v>
      </c>
      <c r="H850" s="15">
        <v>1</v>
      </c>
      <c r="I850" s="8" t="s">
        <v>1100</v>
      </c>
      <c r="J850" s="20">
        <v>33</v>
      </c>
      <c r="K850" s="27" t="str">
        <f t="shared" si="91"/>
        <v>Died</v>
      </c>
      <c r="L850" s="27" t="str">
        <f t="shared" si="92"/>
        <v>Young Adult</v>
      </c>
      <c r="M850" s="28">
        <f t="shared" si="93"/>
        <v>2</v>
      </c>
      <c r="N850" s="27" t="str">
        <f t="shared" si="94"/>
        <v>Small Family</v>
      </c>
      <c r="O850" s="27" t="str">
        <f t="shared" si="95"/>
        <v>Medium Fare</v>
      </c>
      <c r="P850" s="27" t="str">
        <f t="shared" si="96"/>
        <v>Second Class</v>
      </c>
      <c r="Q850" s="27">
        <f t="shared" si="97"/>
        <v>1</v>
      </c>
    </row>
    <row r="851" spans="1:17" x14ac:dyDescent="0.3">
      <c r="A851" s="16">
        <v>850</v>
      </c>
      <c r="B851" s="16">
        <v>1</v>
      </c>
      <c r="C851" s="16">
        <v>1</v>
      </c>
      <c r="D851" s="11" t="s">
        <v>1515</v>
      </c>
      <c r="E851" s="11" t="s">
        <v>14</v>
      </c>
      <c r="F851" s="25">
        <v>26</v>
      </c>
      <c r="G851" s="16">
        <v>1</v>
      </c>
      <c r="H851" s="16">
        <v>0</v>
      </c>
      <c r="I851" s="11" t="s">
        <v>849</v>
      </c>
      <c r="J851" s="21">
        <v>89.104200000000006</v>
      </c>
      <c r="K851" s="27" t="str">
        <f t="shared" si="91"/>
        <v>Survived</v>
      </c>
      <c r="L851" s="27" t="str">
        <f t="shared" si="92"/>
        <v>Young Adult</v>
      </c>
      <c r="M851" s="28">
        <f t="shared" si="93"/>
        <v>2</v>
      </c>
      <c r="N851" s="27" t="str">
        <f t="shared" si="94"/>
        <v>Small Family</v>
      </c>
      <c r="O851" s="27" t="str">
        <f t="shared" si="95"/>
        <v>Medium Fare</v>
      </c>
      <c r="P851" s="27" t="str">
        <f t="shared" si="96"/>
        <v>First Class</v>
      </c>
      <c r="Q851" s="27">
        <f t="shared" si="97"/>
        <v>2</v>
      </c>
    </row>
    <row r="852" spans="1:17" x14ac:dyDescent="0.3">
      <c r="A852" s="15">
        <v>851</v>
      </c>
      <c r="B852" s="15">
        <v>0</v>
      </c>
      <c r="C852" s="15">
        <v>3</v>
      </c>
      <c r="D852" s="8" t="s">
        <v>1516</v>
      </c>
      <c r="E852" s="8" t="s">
        <v>11</v>
      </c>
      <c r="F852" s="24">
        <v>4</v>
      </c>
      <c r="G852" s="15">
        <v>4</v>
      </c>
      <c r="H852" s="15">
        <v>2</v>
      </c>
      <c r="I852" s="8" t="s">
        <v>39</v>
      </c>
      <c r="J852" s="20">
        <v>31.274999999999999</v>
      </c>
      <c r="K852" s="27" t="str">
        <f t="shared" si="91"/>
        <v>Died</v>
      </c>
      <c r="L852" s="27" t="str">
        <f t="shared" si="92"/>
        <v>Child</v>
      </c>
      <c r="M852" s="28">
        <f t="shared" si="93"/>
        <v>7</v>
      </c>
      <c r="N852" s="27" t="str">
        <f t="shared" si="94"/>
        <v>Large Family</v>
      </c>
      <c r="O852" s="27" t="str">
        <f t="shared" si="95"/>
        <v>Medium Fare</v>
      </c>
      <c r="P852" s="27" t="str">
        <f t="shared" si="96"/>
        <v>Third Class</v>
      </c>
      <c r="Q852" s="27">
        <f t="shared" si="97"/>
        <v>1</v>
      </c>
    </row>
    <row r="853" spans="1:17" x14ac:dyDescent="0.3">
      <c r="A853" s="16">
        <v>852</v>
      </c>
      <c r="B853" s="16">
        <v>0</v>
      </c>
      <c r="C853" s="16">
        <v>3</v>
      </c>
      <c r="D853" s="11" t="s">
        <v>1517</v>
      </c>
      <c r="E853" s="11" t="s">
        <v>11</v>
      </c>
      <c r="F853" s="25">
        <v>74</v>
      </c>
      <c r="G853" s="16">
        <v>0</v>
      </c>
      <c r="H853" s="16">
        <v>0</v>
      </c>
      <c r="I853" s="11" t="s">
        <v>1518</v>
      </c>
      <c r="J853" s="21">
        <v>7.7750000000000004</v>
      </c>
      <c r="K853" s="27" t="str">
        <f t="shared" si="91"/>
        <v>Died</v>
      </c>
      <c r="L853" s="27" t="str">
        <f t="shared" si="92"/>
        <v>Senior</v>
      </c>
      <c r="M853" s="28">
        <f t="shared" si="93"/>
        <v>1</v>
      </c>
      <c r="N853" s="27" t="str">
        <f t="shared" si="94"/>
        <v>Alone</v>
      </c>
      <c r="O853" s="27" t="str">
        <f t="shared" si="95"/>
        <v>Low Fare</v>
      </c>
      <c r="P853" s="27" t="str">
        <f t="shared" si="96"/>
        <v>Third Class</v>
      </c>
      <c r="Q853" s="27">
        <f t="shared" si="97"/>
        <v>1</v>
      </c>
    </row>
    <row r="854" spans="1:17" x14ac:dyDescent="0.3">
      <c r="A854" s="15">
        <v>853</v>
      </c>
      <c r="B854" s="15">
        <v>0</v>
      </c>
      <c r="C854" s="15">
        <v>3</v>
      </c>
      <c r="D854" s="8" t="s">
        <v>1519</v>
      </c>
      <c r="E854" s="8" t="s">
        <v>14</v>
      </c>
      <c r="F854" s="24">
        <v>9</v>
      </c>
      <c r="G854" s="15">
        <v>1</v>
      </c>
      <c r="H854" s="15">
        <v>1</v>
      </c>
      <c r="I854" s="8" t="s">
        <v>283</v>
      </c>
      <c r="J854" s="20">
        <v>15.245799999999999</v>
      </c>
      <c r="K854" s="27" t="str">
        <f t="shared" si="91"/>
        <v>Died</v>
      </c>
      <c r="L854" s="27" t="str">
        <f t="shared" si="92"/>
        <v>Child</v>
      </c>
      <c r="M854" s="28">
        <f t="shared" si="93"/>
        <v>3</v>
      </c>
      <c r="N854" s="27" t="str">
        <f t="shared" si="94"/>
        <v>Small Family</v>
      </c>
      <c r="O854" s="27" t="str">
        <f t="shared" si="95"/>
        <v>Low Fare</v>
      </c>
      <c r="P854" s="27" t="str">
        <f t="shared" si="96"/>
        <v>Third Class</v>
      </c>
      <c r="Q854" s="27">
        <f t="shared" si="97"/>
        <v>2</v>
      </c>
    </row>
    <row r="855" spans="1:17" x14ac:dyDescent="0.3">
      <c r="A855" s="16">
        <v>854</v>
      </c>
      <c r="B855" s="16">
        <v>1</v>
      </c>
      <c r="C855" s="16">
        <v>1</v>
      </c>
      <c r="D855" s="11" t="s">
        <v>1520</v>
      </c>
      <c r="E855" s="11" t="s">
        <v>14</v>
      </c>
      <c r="F855" s="25">
        <v>16</v>
      </c>
      <c r="G855" s="16">
        <v>0</v>
      </c>
      <c r="H855" s="16">
        <v>1</v>
      </c>
      <c r="I855" s="11" t="s">
        <v>1521</v>
      </c>
      <c r="J855" s="21">
        <v>39.4</v>
      </c>
      <c r="K855" s="27" t="str">
        <f t="shared" si="91"/>
        <v>Survived</v>
      </c>
      <c r="L855" s="27" t="str">
        <f t="shared" si="92"/>
        <v>Child</v>
      </c>
      <c r="M855" s="28">
        <f t="shared" si="93"/>
        <v>2</v>
      </c>
      <c r="N855" s="27" t="str">
        <f t="shared" si="94"/>
        <v>Small Family</v>
      </c>
      <c r="O855" s="27" t="str">
        <f t="shared" si="95"/>
        <v>Medium Fare</v>
      </c>
      <c r="P855" s="27" t="str">
        <f t="shared" si="96"/>
        <v>First Class</v>
      </c>
      <c r="Q855" s="27">
        <f t="shared" si="97"/>
        <v>2</v>
      </c>
    </row>
    <row r="856" spans="1:17" x14ac:dyDescent="0.3">
      <c r="A856" s="15">
        <v>855</v>
      </c>
      <c r="B856" s="15">
        <v>0</v>
      </c>
      <c r="C856" s="15">
        <v>2</v>
      </c>
      <c r="D856" s="8" t="s">
        <v>1522</v>
      </c>
      <c r="E856" s="8" t="s">
        <v>14</v>
      </c>
      <c r="F856" s="24">
        <v>44</v>
      </c>
      <c r="G856" s="15">
        <v>1</v>
      </c>
      <c r="H856" s="15">
        <v>0</v>
      </c>
      <c r="I856" s="8" t="s">
        <v>485</v>
      </c>
      <c r="J856" s="20">
        <v>26</v>
      </c>
      <c r="K856" s="27" t="str">
        <f t="shared" si="91"/>
        <v>Died</v>
      </c>
      <c r="L856" s="27" t="str">
        <f t="shared" si="92"/>
        <v>Adult</v>
      </c>
      <c r="M856" s="28">
        <f t="shared" si="93"/>
        <v>2</v>
      </c>
      <c r="N856" s="27" t="str">
        <f t="shared" si="94"/>
        <v>Small Family</v>
      </c>
      <c r="O856" s="27" t="str">
        <f t="shared" si="95"/>
        <v>Medium Fare</v>
      </c>
      <c r="P856" s="27" t="str">
        <f t="shared" si="96"/>
        <v>Second Class</v>
      </c>
      <c r="Q856" s="27">
        <f t="shared" si="97"/>
        <v>2</v>
      </c>
    </row>
    <row r="857" spans="1:17" x14ac:dyDescent="0.3">
      <c r="A857" s="16">
        <v>856</v>
      </c>
      <c r="B857" s="16">
        <v>1</v>
      </c>
      <c r="C857" s="16">
        <v>3</v>
      </c>
      <c r="D857" s="11" t="s">
        <v>1523</v>
      </c>
      <c r="E857" s="11" t="s">
        <v>14</v>
      </c>
      <c r="F857" s="25">
        <v>18</v>
      </c>
      <c r="G857" s="16">
        <v>0</v>
      </c>
      <c r="H857" s="16">
        <v>1</v>
      </c>
      <c r="I857" s="11" t="s">
        <v>1524</v>
      </c>
      <c r="J857" s="21">
        <v>9.35</v>
      </c>
      <c r="K857" s="27" t="str">
        <f t="shared" si="91"/>
        <v>Survived</v>
      </c>
      <c r="L857" s="27" t="str">
        <f t="shared" si="92"/>
        <v>Young Adult</v>
      </c>
      <c r="M857" s="28">
        <f t="shared" si="93"/>
        <v>2</v>
      </c>
      <c r="N857" s="27" t="str">
        <f t="shared" si="94"/>
        <v>Small Family</v>
      </c>
      <c r="O857" s="27" t="str">
        <f t="shared" si="95"/>
        <v>Low Fare</v>
      </c>
      <c r="P857" s="27" t="str">
        <f t="shared" si="96"/>
        <v>Third Class</v>
      </c>
      <c r="Q857" s="27">
        <f t="shared" si="97"/>
        <v>2</v>
      </c>
    </row>
    <row r="858" spans="1:17" x14ac:dyDescent="0.3">
      <c r="A858" s="15">
        <v>857</v>
      </c>
      <c r="B858" s="15">
        <v>1</v>
      </c>
      <c r="C858" s="15">
        <v>1</v>
      </c>
      <c r="D858" s="8" t="s">
        <v>1525</v>
      </c>
      <c r="E858" s="8" t="s">
        <v>14</v>
      </c>
      <c r="F858" s="24">
        <v>45</v>
      </c>
      <c r="G858" s="15">
        <v>1</v>
      </c>
      <c r="H858" s="15">
        <v>1</v>
      </c>
      <c r="I858" s="8" t="s">
        <v>614</v>
      </c>
      <c r="J858" s="20">
        <v>164.86670000000001</v>
      </c>
      <c r="K858" s="27" t="str">
        <f t="shared" si="91"/>
        <v>Survived</v>
      </c>
      <c r="L858" s="27" t="str">
        <f t="shared" si="92"/>
        <v>Adult</v>
      </c>
      <c r="M858" s="28">
        <f t="shared" si="93"/>
        <v>3</v>
      </c>
      <c r="N858" s="27" t="str">
        <f t="shared" si="94"/>
        <v>Small Family</v>
      </c>
      <c r="O858" s="27" t="str">
        <f t="shared" si="95"/>
        <v>High Fare</v>
      </c>
      <c r="P858" s="27" t="str">
        <f t="shared" si="96"/>
        <v>First Class</v>
      </c>
      <c r="Q858" s="27">
        <f t="shared" si="97"/>
        <v>2</v>
      </c>
    </row>
    <row r="859" spans="1:17" x14ac:dyDescent="0.3">
      <c r="A859" s="16">
        <v>858</v>
      </c>
      <c r="B859" s="16">
        <v>1</v>
      </c>
      <c r="C859" s="16">
        <v>1</v>
      </c>
      <c r="D859" s="11" t="s">
        <v>1526</v>
      </c>
      <c r="E859" s="11" t="s">
        <v>11</v>
      </c>
      <c r="F859" s="25">
        <v>51</v>
      </c>
      <c r="G859" s="16">
        <v>0</v>
      </c>
      <c r="H859" s="16">
        <v>0</v>
      </c>
      <c r="I859" s="11" t="s">
        <v>1527</v>
      </c>
      <c r="J859" s="21">
        <v>26.55</v>
      </c>
      <c r="K859" s="27" t="str">
        <f t="shared" si="91"/>
        <v>Survived</v>
      </c>
      <c r="L859" s="27" t="str">
        <f t="shared" si="92"/>
        <v>Adult</v>
      </c>
      <c r="M859" s="28">
        <f t="shared" si="93"/>
        <v>1</v>
      </c>
      <c r="N859" s="27" t="str">
        <f t="shared" si="94"/>
        <v>Alone</v>
      </c>
      <c r="O859" s="27" t="str">
        <f t="shared" si="95"/>
        <v>Medium Fare</v>
      </c>
      <c r="P859" s="27" t="str">
        <f t="shared" si="96"/>
        <v>First Class</v>
      </c>
      <c r="Q859" s="27">
        <f t="shared" si="97"/>
        <v>1</v>
      </c>
    </row>
    <row r="860" spans="1:17" x14ac:dyDescent="0.3">
      <c r="A860" s="15">
        <v>859</v>
      </c>
      <c r="B860" s="15">
        <v>1</v>
      </c>
      <c r="C860" s="15">
        <v>3</v>
      </c>
      <c r="D860" s="8" t="s">
        <v>1528</v>
      </c>
      <c r="E860" s="8" t="s">
        <v>14</v>
      </c>
      <c r="F860" s="24">
        <v>24</v>
      </c>
      <c r="G860" s="15">
        <v>0</v>
      </c>
      <c r="H860" s="15">
        <v>3</v>
      </c>
      <c r="I860" s="8" t="s">
        <v>840</v>
      </c>
      <c r="J860" s="20">
        <v>19.258299999999998</v>
      </c>
      <c r="K860" s="27" t="str">
        <f t="shared" si="91"/>
        <v>Survived</v>
      </c>
      <c r="L860" s="27" t="str">
        <f t="shared" si="92"/>
        <v>Young Adult</v>
      </c>
      <c r="M860" s="28">
        <f t="shared" si="93"/>
        <v>4</v>
      </c>
      <c r="N860" s="27" t="str">
        <f t="shared" si="94"/>
        <v>Small Family</v>
      </c>
      <c r="O860" s="27" t="str">
        <f t="shared" si="95"/>
        <v>Low Fare</v>
      </c>
      <c r="P860" s="27" t="str">
        <f t="shared" si="96"/>
        <v>Third Class</v>
      </c>
      <c r="Q860" s="27">
        <f t="shared" si="97"/>
        <v>2</v>
      </c>
    </row>
    <row r="861" spans="1:17" x14ac:dyDescent="0.3">
      <c r="A861" s="16">
        <v>860</v>
      </c>
      <c r="B861" s="16">
        <v>0</v>
      </c>
      <c r="C861" s="16">
        <v>3</v>
      </c>
      <c r="D861" s="11" t="s">
        <v>1529</v>
      </c>
      <c r="E861" s="11" t="s">
        <v>11</v>
      </c>
      <c r="F861" s="25">
        <v>26</v>
      </c>
      <c r="G861" s="16">
        <v>0</v>
      </c>
      <c r="H861" s="16">
        <v>0</v>
      </c>
      <c r="I861" s="11" t="s">
        <v>1530</v>
      </c>
      <c r="J861" s="21">
        <v>7.2291999999999996</v>
      </c>
      <c r="K861" s="27" t="str">
        <f t="shared" si="91"/>
        <v>Died</v>
      </c>
      <c r="L861" s="27" t="str">
        <f t="shared" si="92"/>
        <v>Young Adult</v>
      </c>
      <c r="M861" s="28">
        <f t="shared" si="93"/>
        <v>1</v>
      </c>
      <c r="N861" s="27" t="str">
        <f t="shared" si="94"/>
        <v>Alone</v>
      </c>
      <c r="O861" s="27" t="str">
        <f t="shared" si="95"/>
        <v>Low Fare</v>
      </c>
      <c r="P861" s="27" t="str">
        <f t="shared" si="96"/>
        <v>Third Class</v>
      </c>
      <c r="Q861" s="27">
        <f t="shared" si="97"/>
        <v>1</v>
      </c>
    </row>
    <row r="862" spans="1:17" x14ac:dyDescent="0.3">
      <c r="A862" s="15">
        <v>861</v>
      </c>
      <c r="B862" s="15">
        <v>0</v>
      </c>
      <c r="C862" s="15">
        <v>3</v>
      </c>
      <c r="D862" s="8" t="s">
        <v>1531</v>
      </c>
      <c r="E862" s="8" t="s">
        <v>11</v>
      </c>
      <c r="F862" s="24">
        <v>41</v>
      </c>
      <c r="G862" s="15">
        <v>2</v>
      </c>
      <c r="H862" s="15">
        <v>0</v>
      </c>
      <c r="I862" s="8" t="s">
        <v>1532</v>
      </c>
      <c r="J862" s="20">
        <v>14.1083</v>
      </c>
      <c r="K862" s="27" t="str">
        <f t="shared" si="91"/>
        <v>Died</v>
      </c>
      <c r="L862" s="27" t="str">
        <f t="shared" si="92"/>
        <v>Adult</v>
      </c>
      <c r="M862" s="28">
        <f t="shared" si="93"/>
        <v>3</v>
      </c>
      <c r="N862" s="27" t="str">
        <f t="shared" si="94"/>
        <v>Small Family</v>
      </c>
      <c r="O862" s="27" t="str">
        <f t="shared" si="95"/>
        <v>Low Fare</v>
      </c>
      <c r="P862" s="27" t="str">
        <f t="shared" si="96"/>
        <v>Third Class</v>
      </c>
      <c r="Q862" s="27">
        <f t="shared" si="97"/>
        <v>1</v>
      </c>
    </row>
    <row r="863" spans="1:17" x14ac:dyDescent="0.3">
      <c r="A863" s="16">
        <v>862</v>
      </c>
      <c r="B863" s="16">
        <v>0</v>
      </c>
      <c r="C863" s="16">
        <v>2</v>
      </c>
      <c r="D863" s="11" t="s">
        <v>1533</v>
      </c>
      <c r="E863" s="11" t="s">
        <v>11</v>
      </c>
      <c r="F863" s="25">
        <v>21</v>
      </c>
      <c r="G863" s="16">
        <v>1</v>
      </c>
      <c r="H863" s="16">
        <v>0</v>
      </c>
      <c r="I863" s="11" t="s">
        <v>1534</v>
      </c>
      <c r="J863" s="21">
        <v>11.5</v>
      </c>
      <c r="K863" s="27" t="str">
        <f t="shared" si="91"/>
        <v>Died</v>
      </c>
      <c r="L863" s="27" t="str">
        <f t="shared" si="92"/>
        <v>Young Adult</v>
      </c>
      <c r="M863" s="28">
        <f t="shared" si="93"/>
        <v>2</v>
      </c>
      <c r="N863" s="27" t="str">
        <f t="shared" si="94"/>
        <v>Small Family</v>
      </c>
      <c r="O863" s="27" t="str">
        <f t="shared" si="95"/>
        <v>Low Fare</v>
      </c>
      <c r="P863" s="27" t="str">
        <f t="shared" si="96"/>
        <v>Second Class</v>
      </c>
      <c r="Q863" s="27">
        <f t="shared" si="97"/>
        <v>1</v>
      </c>
    </row>
    <row r="864" spans="1:17" x14ac:dyDescent="0.3">
      <c r="A864" s="15">
        <v>863</v>
      </c>
      <c r="B864" s="15">
        <v>1</v>
      </c>
      <c r="C864" s="15">
        <v>1</v>
      </c>
      <c r="D864" s="8" t="s">
        <v>1535</v>
      </c>
      <c r="E864" s="8" t="s">
        <v>14</v>
      </c>
      <c r="F864" s="24">
        <v>48</v>
      </c>
      <c r="G864" s="15">
        <v>0</v>
      </c>
      <c r="H864" s="15">
        <v>0</v>
      </c>
      <c r="I864" s="8" t="s">
        <v>1536</v>
      </c>
      <c r="J864" s="20">
        <v>25.929200000000002</v>
      </c>
      <c r="K864" s="27" t="str">
        <f t="shared" si="91"/>
        <v>Survived</v>
      </c>
      <c r="L864" s="27" t="str">
        <f t="shared" si="92"/>
        <v>Adult</v>
      </c>
      <c r="M864" s="28">
        <f t="shared" si="93"/>
        <v>1</v>
      </c>
      <c r="N864" s="27" t="str">
        <f t="shared" si="94"/>
        <v>Alone</v>
      </c>
      <c r="O864" s="27" t="str">
        <f t="shared" si="95"/>
        <v>Medium Fare</v>
      </c>
      <c r="P864" s="27" t="str">
        <f t="shared" si="96"/>
        <v>First Class</v>
      </c>
      <c r="Q864" s="27">
        <f t="shared" si="97"/>
        <v>2</v>
      </c>
    </row>
    <row r="865" spans="1:17" x14ac:dyDescent="0.3">
      <c r="A865" s="16">
        <v>864</v>
      </c>
      <c r="B865" s="16">
        <v>0</v>
      </c>
      <c r="C865" s="16">
        <v>3</v>
      </c>
      <c r="D865" s="11" t="s">
        <v>1537</v>
      </c>
      <c r="E865" s="11" t="s">
        <v>14</v>
      </c>
      <c r="F865" s="25">
        <v>26</v>
      </c>
      <c r="G865" s="16">
        <v>8</v>
      </c>
      <c r="H865" s="16">
        <v>2</v>
      </c>
      <c r="I865" s="11" t="s">
        <v>320</v>
      </c>
      <c r="J865" s="21">
        <v>69.55</v>
      </c>
      <c r="K865" s="27" t="str">
        <f t="shared" si="91"/>
        <v>Died</v>
      </c>
      <c r="L865" s="27" t="str">
        <f t="shared" si="92"/>
        <v>Young Adult</v>
      </c>
      <c r="M865" s="28">
        <f t="shared" si="93"/>
        <v>11</v>
      </c>
      <c r="N865" s="27" t="str">
        <f t="shared" si="94"/>
        <v>Large Family</v>
      </c>
      <c r="O865" s="27" t="str">
        <f t="shared" si="95"/>
        <v>Medium Fare</v>
      </c>
      <c r="P865" s="27" t="str">
        <f t="shared" si="96"/>
        <v>Third Class</v>
      </c>
      <c r="Q865" s="27">
        <f t="shared" si="97"/>
        <v>2</v>
      </c>
    </row>
    <row r="866" spans="1:17" x14ac:dyDescent="0.3">
      <c r="A866" s="15">
        <v>865</v>
      </c>
      <c r="B866" s="15">
        <v>0</v>
      </c>
      <c r="C866" s="15">
        <v>2</v>
      </c>
      <c r="D866" s="8" t="s">
        <v>1538</v>
      </c>
      <c r="E866" s="8" t="s">
        <v>11</v>
      </c>
      <c r="F866" s="24">
        <v>24</v>
      </c>
      <c r="G866" s="15">
        <v>0</v>
      </c>
      <c r="H866" s="15">
        <v>0</v>
      </c>
      <c r="I866" s="8" t="s">
        <v>1539</v>
      </c>
      <c r="J866" s="20">
        <v>13</v>
      </c>
      <c r="K866" s="27" t="str">
        <f t="shared" si="91"/>
        <v>Died</v>
      </c>
      <c r="L866" s="27" t="str">
        <f t="shared" si="92"/>
        <v>Young Adult</v>
      </c>
      <c r="M866" s="28">
        <f t="shared" si="93"/>
        <v>1</v>
      </c>
      <c r="N866" s="27" t="str">
        <f t="shared" si="94"/>
        <v>Alone</v>
      </c>
      <c r="O866" s="27" t="str">
        <f t="shared" si="95"/>
        <v>Low Fare</v>
      </c>
      <c r="P866" s="27" t="str">
        <f t="shared" si="96"/>
        <v>Second Class</v>
      </c>
      <c r="Q866" s="27">
        <f t="shared" si="97"/>
        <v>1</v>
      </c>
    </row>
    <row r="867" spans="1:17" x14ac:dyDescent="0.3">
      <c r="A867" s="16">
        <v>866</v>
      </c>
      <c r="B867" s="16">
        <v>1</v>
      </c>
      <c r="C867" s="16">
        <v>2</v>
      </c>
      <c r="D867" s="11" t="s">
        <v>1540</v>
      </c>
      <c r="E867" s="11" t="s">
        <v>14</v>
      </c>
      <c r="F867" s="25">
        <v>42</v>
      </c>
      <c r="G867" s="16">
        <v>0</v>
      </c>
      <c r="H867" s="16">
        <v>0</v>
      </c>
      <c r="I867" s="11" t="s">
        <v>1541</v>
      </c>
      <c r="J867" s="21">
        <v>13</v>
      </c>
      <c r="K867" s="27" t="str">
        <f t="shared" si="91"/>
        <v>Survived</v>
      </c>
      <c r="L867" s="27" t="str">
        <f t="shared" si="92"/>
        <v>Adult</v>
      </c>
      <c r="M867" s="28">
        <f t="shared" si="93"/>
        <v>1</v>
      </c>
      <c r="N867" s="27" t="str">
        <f t="shared" si="94"/>
        <v>Alone</v>
      </c>
      <c r="O867" s="27" t="str">
        <f t="shared" si="95"/>
        <v>Low Fare</v>
      </c>
      <c r="P867" s="27" t="str">
        <f t="shared" si="96"/>
        <v>Second Class</v>
      </c>
      <c r="Q867" s="27">
        <f t="shared" si="97"/>
        <v>2</v>
      </c>
    </row>
    <row r="868" spans="1:17" x14ac:dyDescent="0.3">
      <c r="A868" s="15">
        <v>867</v>
      </c>
      <c r="B868" s="15">
        <v>1</v>
      </c>
      <c r="C868" s="15">
        <v>2</v>
      </c>
      <c r="D868" s="8" t="s">
        <v>1542</v>
      </c>
      <c r="E868" s="8" t="s">
        <v>14</v>
      </c>
      <c r="F868" s="24">
        <v>27</v>
      </c>
      <c r="G868" s="15">
        <v>1</v>
      </c>
      <c r="H868" s="15">
        <v>0</v>
      </c>
      <c r="I868" s="8" t="s">
        <v>1543</v>
      </c>
      <c r="J868" s="20">
        <v>13.8583</v>
      </c>
      <c r="K868" s="27" t="str">
        <f t="shared" si="91"/>
        <v>Survived</v>
      </c>
      <c r="L868" s="27" t="str">
        <f t="shared" si="92"/>
        <v>Young Adult</v>
      </c>
      <c r="M868" s="28">
        <f t="shared" si="93"/>
        <v>2</v>
      </c>
      <c r="N868" s="27" t="str">
        <f t="shared" si="94"/>
        <v>Small Family</v>
      </c>
      <c r="O868" s="27" t="str">
        <f t="shared" si="95"/>
        <v>Low Fare</v>
      </c>
      <c r="P868" s="27" t="str">
        <f t="shared" si="96"/>
        <v>Second Class</v>
      </c>
      <c r="Q868" s="27">
        <f t="shared" si="97"/>
        <v>2</v>
      </c>
    </row>
    <row r="869" spans="1:17" x14ac:dyDescent="0.3">
      <c r="A869" s="16">
        <v>868</v>
      </c>
      <c r="B869" s="16">
        <v>0</v>
      </c>
      <c r="C869" s="16">
        <v>1</v>
      </c>
      <c r="D869" s="11" t="s">
        <v>1544</v>
      </c>
      <c r="E869" s="11" t="s">
        <v>11</v>
      </c>
      <c r="F869" s="25">
        <v>31</v>
      </c>
      <c r="G869" s="16">
        <v>0</v>
      </c>
      <c r="H869" s="16">
        <v>0</v>
      </c>
      <c r="I869" s="11" t="s">
        <v>1545</v>
      </c>
      <c r="J869" s="21">
        <v>50.495800000000003</v>
      </c>
      <c r="K869" s="27" t="str">
        <f t="shared" si="91"/>
        <v>Died</v>
      </c>
      <c r="L869" s="27" t="str">
        <f t="shared" si="92"/>
        <v>Young Adult</v>
      </c>
      <c r="M869" s="28">
        <f t="shared" si="93"/>
        <v>1</v>
      </c>
      <c r="N869" s="27" t="str">
        <f t="shared" si="94"/>
        <v>Alone</v>
      </c>
      <c r="O869" s="27" t="str">
        <f t="shared" si="95"/>
        <v>Medium Fare</v>
      </c>
      <c r="P869" s="27" t="str">
        <f t="shared" si="96"/>
        <v>First Class</v>
      </c>
      <c r="Q869" s="27">
        <f t="shared" si="97"/>
        <v>1</v>
      </c>
    </row>
    <row r="870" spans="1:17" x14ac:dyDescent="0.3">
      <c r="A870" s="15">
        <v>869</v>
      </c>
      <c r="B870" s="15">
        <v>0</v>
      </c>
      <c r="C870" s="15">
        <v>3</v>
      </c>
      <c r="D870" s="8" t="s">
        <v>1546</v>
      </c>
      <c r="E870" s="8" t="s">
        <v>11</v>
      </c>
      <c r="F870" s="24">
        <v>26</v>
      </c>
      <c r="G870" s="15">
        <v>0</v>
      </c>
      <c r="H870" s="15">
        <v>0</v>
      </c>
      <c r="I870" s="8" t="s">
        <v>1547</v>
      </c>
      <c r="J870" s="20">
        <v>9.5</v>
      </c>
      <c r="K870" s="27" t="str">
        <f t="shared" si="91"/>
        <v>Died</v>
      </c>
      <c r="L870" s="27" t="str">
        <f t="shared" si="92"/>
        <v>Young Adult</v>
      </c>
      <c r="M870" s="28">
        <f t="shared" si="93"/>
        <v>1</v>
      </c>
      <c r="N870" s="27" t="str">
        <f t="shared" si="94"/>
        <v>Alone</v>
      </c>
      <c r="O870" s="27" t="str">
        <f t="shared" si="95"/>
        <v>Low Fare</v>
      </c>
      <c r="P870" s="27" t="str">
        <f t="shared" si="96"/>
        <v>Third Class</v>
      </c>
      <c r="Q870" s="27">
        <f t="shared" si="97"/>
        <v>1</v>
      </c>
    </row>
    <row r="871" spans="1:17" x14ac:dyDescent="0.3">
      <c r="A871" s="16">
        <v>870</v>
      </c>
      <c r="B871" s="16">
        <v>1</v>
      </c>
      <c r="C871" s="16">
        <v>3</v>
      </c>
      <c r="D871" s="11" t="s">
        <v>1548</v>
      </c>
      <c r="E871" s="11" t="s">
        <v>11</v>
      </c>
      <c r="F871" s="25">
        <v>4</v>
      </c>
      <c r="G871" s="16">
        <v>1</v>
      </c>
      <c r="H871" s="16">
        <v>1</v>
      </c>
      <c r="I871" s="11" t="s">
        <v>29</v>
      </c>
      <c r="J871" s="21">
        <v>11.1333</v>
      </c>
      <c r="K871" s="27" t="str">
        <f t="shared" si="91"/>
        <v>Survived</v>
      </c>
      <c r="L871" s="27" t="str">
        <f t="shared" si="92"/>
        <v>Child</v>
      </c>
      <c r="M871" s="28">
        <f t="shared" si="93"/>
        <v>3</v>
      </c>
      <c r="N871" s="27" t="str">
        <f t="shared" si="94"/>
        <v>Small Family</v>
      </c>
      <c r="O871" s="27" t="str">
        <f t="shared" si="95"/>
        <v>Low Fare</v>
      </c>
      <c r="P871" s="27" t="str">
        <f t="shared" si="96"/>
        <v>Third Class</v>
      </c>
      <c r="Q871" s="27">
        <f t="shared" si="97"/>
        <v>1</v>
      </c>
    </row>
    <row r="872" spans="1:17" x14ac:dyDescent="0.3">
      <c r="A872" s="15">
        <v>871</v>
      </c>
      <c r="B872" s="15">
        <v>0</v>
      </c>
      <c r="C872" s="15">
        <v>3</v>
      </c>
      <c r="D872" s="8" t="s">
        <v>1549</v>
      </c>
      <c r="E872" s="8" t="s">
        <v>11</v>
      </c>
      <c r="F872" s="24">
        <v>26</v>
      </c>
      <c r="G872" s="15">
        <v>0</v>
      </c>
      <c r="H872" s="15">
        <v>0</v>
      </c>
      <c r="I872" s="8" t="s">
        <v>1550</v>
      </c>
      <c r="J872" s="20">
        <v>7.8958000000000004</v>
      </c>
      <c r="K872" s="27" t="str">
        <f t="shared" si="91"/>
        <v>Died</v>
      </c>
      <c r="L872" s="27" t="str">
        <f t="shared" si="92"/>
        <v>Young Adult</v>
      </c>
      <c r="M872" s="28">
        <f t="shared" si="93"/>
        <v>1</v>
      </c>
      <c r="N872" s="27" t="str">
        <f t="shared" si="94"/>
        <v>Alone</v>
      </c>
      <c r="O872" s="27" t="str">
        <f t="shared" si="95"/>
        <v>Low Fare</v>
      </c>
      <c r="P872" s="27" t="str">
        <f t="shared" si="96"/>
        <v>Third Class</v>
      </c>
      <c r="Q872" s="27">
        <f t="shared" si="97"/>
        <v>1</v>
      </c>
    </row>
    <row r="873" spans="1:17" x14ac:dyDescent="0.3">
      <c r="A873" s="16">
        <v>872</v>
      </c>
      <c r="B873" s="16">
        <v>1</v>
      </c>
      <c r="C873" s="16">
        <v>1</v>
      </c>
      <c r="D873" s="11" t="s">
        <v>1551</v>
      </c>
      <c r="E873" s="11" t="s">
        <v>14</v>
      </c>
      <c r="F873" s="25">
        <v>47</v>
      </c>
      <c r="G873" s="16">
        <v>1</v>
      </c>
      <c r="H873" s="16">
        <v>1</v>
      </c>
      <c r="I873" s="11" t="s">
        <v>483</v>
      </c>
      <c r="J873" s="21">
        <v>52.554200000000002</v>
      </c>
      <c r="K873" s="27" t="str">
        <f t="shared" si="91"/>
        <v>Survived</v>
      </c>
      <c r="L873" s="27" t="str">
        <f t="shared" si="92"/>
        <v>Adult</v>
      </c>
      <c r="M873" s="28">
        <f t="shared" si="93"/>
        <v>3</v>
      </c>
      <c r="N873" s="27" t="str">
        <f t="shared" si="94"/>
        <v>Small Family</v>
      </c>
      <c r="O873" s="27" t="str">
        <f t="shared" si="95"/>
        <v>Medium Fare</v>
      </c>
      <c r="P873" s="27" t="str">
        <f t="shared" si="96"/>
        <v>First Class</v>
      </c>
      <c r="Q873" s="27">
        <f t="shared" si="97"/>
        <v>2</v>
      </c>
    </row>
    <row r="874" spans="1:17" x14ac:dyDescent="0.3">
      <c r="A874" s="15">
        <v>873</v>
      </c>
      <c r="B874" s="15">
        <v>0</v>
      </c>
      <c r="C874" s="15">
        <v>1</v>
      </c>
      <c r="D874" s="8" t="s">
        <v>1552</v>
      </c>
      <c r="E874" s="8" t="s">
        <v>11</v>
      </c>
      <c r="F874" s="24">
        <v>33</v>
      </c>
      <c r="G874" s="15">
        <v>0</v>
      </c>
      <c r="H874" s="15">
        <v>0</v>
      </c>
      <c r="I874" s="8" t="s">
        <v>1553</v>
      </c>
      <c r="J874" s="20">
        <v>5</v>
      </c>
      <c r="K874" s="27" t="str">
        <f t="shared" si="91"/>
        <v>Died</v>
      </c>
      <c r="L874" s="27" t="str">
        <f t="shared" si="92"/>
        <v>Young Adult</v>
      </c>
      <c r="M874" s="28">
        <f t="shared" si="93"/>
        <v>1</v>
      </c>
      <c r="N874" s="27" t="str">
        <f t="shared" si="94"/>
        <v>Alone</v>
      </c>
      <c r="O874" s="27" t="str">
        <f t="shared" si="95"/>
        <v>Low Fare</v>
      </c>
      <c r="P874" s="27" t="str">
        <f t="shared" si="96"/>
        <v>First Class</v>
      </c>
      <c r="Q874" s="27">
        <f t="shared" si="97"/>
        <v>1</v>
      </c>
    </row>
    <row r="875" spans="1:17" x14ac:dyDescent="0.3">
      <c r="A875" s="16">
        <v>874</v>
      </c>
      <c r="B875" s="16">
        <v>0</v>
      </c>
      <c r="C875" s="16">
        <v>3</v>
      </c>
      <c r="D875" s="11" t="s">
        <v>1554</v>
      </c>
      <c r="E875" s="11" t="s">
        <v>11</v>
      </c>
      <c r="F875" s="25">
        <v>47</v>
      </c>
      <c r="G875" s="16">
        <v>0</v>
      </c>
      <c r="H875" s="16">
        <v>0</v>
      </c>
      <c r="I875" s="11" t="s">
        <v>1555</v>
      </c>
      <c r="J875" s="21">
        <v>9</v>
      </c>
      <c r="K875" s="27" t="str">
        <f t="shared" si="91"/>
        <v>Died</v>
      </c>
      <c r="L875" s="27" t="str">
        <f t="shared" si="92"/>
        <v>Adult</v>
      </c>
      <c r="M875" s="28">
        <f t="shared" si="93"/>
        <v>1</v>
      </c>
      <c r="N875" s="27" t="str">
        <f t="shared" si="94"/>
        <v>Alone</v>
      </c>
      <c r="O875" s="27" t="str">
        <f t="shared" si="95"/>
        <v>Low Fare</v>
      </c>
      <c r="P875" s="27" t="str">
        <f t="shared" si="96"/>
        <v>Third Class</v>
      </c>
      <c r="Q875" s="27">
        <f t="shared" si="97"/>
        <v>1</v>
      </c>
    </row>
    <row r="876" spans="1:17" x14ac:dyDescent="0.3">
      <c r="A876" s="15">
        <v>875</v>
      </c>
      <c r="B876" s="15">
        <v>1</v>
      </c>
      <c r="C876" s="15">
        <v>2</v>
      </c>
      <c r="D876" s="8" t="s">
        <v>1556</v>
      </c>
      <c r="E876" s="8" t="s">
        <v>14</v>
      </c>
      <c r="F876" s="24">
        <v>28</v>
      </c>
      <c r="G876" s="15">
        <v>1</v>
      </c>
      <c r="H876" s="15">
        <v>0</v>
      </c>
      <c r="I876" s="8" t="s">
        <v>595</v>
      </c>
      <c r="J876" s="20">
        <v>24</v>
      </c>
      <c r="K876" s="27" t="str">
        <f t="shared" si="91"/>
        <v>Survived</v>
      </c>
      <c r="L876" s="27" t="str">
        <f t="shared" si="92"/>
        <v>Young Adult</v>
      </c>
      <c r="M876" s="28">
        <f t="shared" si="93"/>
        <v>2</v>
      </c>
      <c r="N876" s="27" t="str">
        <f t="shared" si="94"/>
        <v>Small Family</v>
      </c>
      <c r="O876" s="27" t="str">
        <f t="shared" si="95"/>
        <v>Low Fare</v>
      </c>
      <c r="P876" s="27" t="str">
        <f t="shared" si="96"/>
        <v>Second Class</v>
      </c>
      <c r="Q876" s="27">
        <f t="shared" si="97"/>
        <v>2</v>
      </c>
    </row>
    <row r="877" spans="1:17" x14ac:dyDescent="0.3">
      <c r="A877" s="16">
        <v>876</v>
      </c>
      <c r="B877" s="16">
        <v>1</v>
      </c>
      <c r="C877" s="16">
        <v>3</v>
      </c>
      <c r="D877" s="11" t="s">
        <v>1557</v>
      </c>
      <c r="E877" s="11" t="s">
        <v>14</v>
      </c>
      <c r="F877" s="25">
        <v>15</v>
      </c>
      <c r="G877" s="16">
        <v>0</v>
      </c>
      <c r="H877" s="16">
        <v>0</v>
      </c>
      <c r="I877" s="11" t="s">
        <v>1558</v>
      </c>
      <c r="J877" s="21">
        <v>7.2249999999999996</v>
      </c>
      <c r="K877" s="27" t="str">
        <f t="shared" si="91"/>
        <v>Survived</v>
      </c>
      <c r="L877" s="27" t="str">
        <f t="shared" si="92"/>
        <v>Child</v>
      </c>
      <c r="M877" s="28">
        <f t="shared" si="93"/>
        <v>1</v>
      </c>
      <c r="N877" s="27" t="str">
        <f t="shared" si="94"/>
        <v>Alone</v>
      </c>
      <c r="O877" s="27" t="str">
        <f t="shared" si="95"/>
        <v>Low Fare</v>
      </c>
      <c r="P877" s="27" t="str">
        <f t="shared" si="96"/>
        <v>Third Class</v>
      </c>
      <c r="Q877" s="27">
        <f t="shared" si="97"/>
        <v>2</v>
      </c>
    </row>
    <row r="878" spans="1:17" x14ac:dyDescent="0.3">
      <c r="A878" s="15">
        <v>877</v>
      </c>
      <c r="B878" s="15">
        <v>0</v>
      </c>
      <c r="C878" s="15">
        <v>3</v>
      </c>
      <c r="D878" s="8" t="s">
        <v>1559</v>
      </c>
      <c r="E878" s="8" t="s">
        <v>11</v>
      </c>
      <c r="F878" s="24">
        <v>20</v>
      </c>
      <c r="G878" s="15">
        <v>0</v>
      </c>
      <c r="H878" s="15">
        <v>0</v>
      </c>
      <c r="I878" s="8" t="s">
        <v>279</v>
      </c>
      <c r="J878" s="20">
        <v>9.8458000000000006</v>
      </c>
      <c r="K878" s="27" t="str">
        <f t="shared" si="91"/>
        <v>Died</v>
      </c>
      <c r="L878" s="27" t="str">
        <f t="shared" si="92"/>
        <v>Young Adult</v>
      </c>
      <c r="M878" s="28">
        <f t="shared" si="93"/>
        <v>1</v>
      </c>
      <c r="N878" s="27" t="str">
        <f t="shared" si="94"/>
        <v>Alone</v>
      </c>
      <c r="O878" s="27" t="str">
        <f t="shared" si="95"/>
        <v>Low Fare</v>
      </c>
      <c r="P878" s="27" t="str">
        <f t="shared" si="96"/>
        <v>Third Class</v>
      </c>
      <c r="Q878" s="27">
        <f t="shared" si="97"/>
        <v>1</v>
      </c>
    </row>
    <row r="879" spans="1:17" x14ac:dyDescent="0.3">
      <c r="A879" s="16">
        <v>878</v>
      </c>
      <c r="B879" s="16">
        <v>0</v>
      </c>
      <c r="C879" s="16">
        <v>3</v>
      </c>
      <c r="D879" s="11" t="s">
        <v>1560</v>
      </c>
      <c r="E879" s="11" t="s">
        <v>11</v>
      </c>
      <c r="F879" s="25">
        <v>19</v>
      </c>
      <c r="G879" s="16">
        <v>0</v>
      </c>
      <c r="H879" s="16">
        <v>0</v>
      </c>
      <c r="I879" s="11" t="s">
        <v>1561</v>
      </c>
      <c r="J879" s="21">
        <v>7.8958000000000004</v>
      </c>
      <c r="K879" s="27" t="str">
        <f t="shared" si="91"/>
        <v>Died</v>
      </c>
      <c r="L879" s="27" t="str">
        <f t="shared" si="92"/>
        <v>Young Adult</v>
      </c>
      <c r="M879" s="28">
        <f t="shared" si="93"/>
        <v>1</v>
      </c>
      <c r="N879" s="27" t="str">
        <f t="shared" si="94"/>
        <v>Alone</v>
      </c>
      <c r="O879" s="27" t="str">
        <f t="shared" si="95"/>
        <v>Low Fare</v>
      </c>
      <c r="P879" s="27" t="str">
        <f t="shared" si="96"/>
        <v>Third Class</v>
      </c>
      <c r="Q879" s="27">
        <f t="shared" si="97"/>
        <v>1</v>
      </c>
    </row>
    <row r="880" spans="1:17" x14ac:dyDescent="0.3">
      <c r="A880" s="15">
        <v>879</v>
      </c>
      <c r="B880" s="15">
        <v>0</v>
      </c>
      <c r="C880" s="15">
        <v>3</v>
      </c>
      <c r="D880" s="8" t="s">
        <v>1562</v>
      </c>
      <c r="E880" s="8" t="s">
        <v>11</v>
      </c>
      <c r="F880" s="24">
        <v>26</v>
      </c>
      <c r="G880" s="15">
        <v>0</v>
      </c>
      <c r="H880" s="15">
        <v>0</v>
      </c>
      <c r="I880" s="8" t="s">
        <v>1563</v>
      </c>
      <c r="J880" s="20">
        <v>7.8958000000000004</v>
      </c>
      <c r="K880" s="27" t="str">
        <f t="shared" si="91"/>
        <v>Died</v>
      </c>
      <c r="L880" s="27" t="str">
        <f t="shared" si="92"/>
        <v>Young Adult</v>
      </c>
      <c r="M880" s="28">
        <f t="shared" si="93"/>
        <v>1</v>
      </c>
      <c r="N880" s="27" t="str">
        <f t="shared" si="94"/>
        <v>Alone</v>
      </c>
      <c r="O880" s="27" t="str">
        <f t="shared" si="95"/>
        <v>Low Fare</v>
      </c>
      <c r="P880" s="27" t="str">
        <f t="shared" si="96"/>
        <v>Third Class</v>
      </c>
      <c r="Q880" s="27">
        <f t="shared" si="97"/>
        <v>1</v>
      </c>
    </row>
    <row r="881" spans="1:17" x14ac:dyDescent="0.3">
      <c r="A881" s="16">
        <v>880</v>
      </c>
      <c r="B881" s="16">
        <v>1</v>
      </c>
      <c r="C881" s="16">
        <v>1</v>
      </c>
      <c r="D881" s="11" t="s">
        <v>1564</v>
      </c>
      <c r="E881" s="11" t="s">
        <v>14</v>
      </c>
      <c r="F881" s="25">
        <v>56</v>
      </c>
      <c r="G881" s="16">
        <v>0</v>
      </c>
      <c r="H881" s="16">
        <v>1</v>
      </c>
      <c r="I881" s="11" t="s">
        <v>599</v>
      </c>
      <c r="J881" s="21">
        <v>83.158299999999997</v>
      </c>
      <c r="K881" s="27" t="str">
        <f t="shared" si="91"/>
        <v>Survived</v>
      </c>
      <c r="L881" s="27" t="str">
        <f t="shared" si="92"/>
        <v>Adult</v>
      </c>
      <c r="M881" s="28">
        <f t="shared" si="93"/>
        <v>2</v>
      </c>
      <c r="N881" s="27" t="str">
        <f t="shared" si="94"/>
        <v>Small Family</v>
      </c>
      <c r="O881" s="27" t="str">
        <f t="shared" si="95"/>
        <v>Medium Fare</v>
      </c>
      <c r="P881" s="27" t="str">
        <f t="shared" si="96"/>
        <v>First Class</v>
      </c>
      <c r="Q881" s="27">
        <f t="shared" si="97"/>
        <v>2</v>
      </c>
    </row>
    <row r="882" spans="1:17" x14ac:dyDescent="0.3">
      <c r="A882" s="15">
        <v>881</v>
      </c>
      <c r="B882" s="15">
        <v>1</v>
      </c>
      <c r="C882" s="15">
        <v>2</v>
      </c>
      <c r="D882" s="8" t="s">
        <v>1565</v>
      </c>
      <c r="E882" s="8" t="s">
        <v>14</v>
      </c>
      <c r="F882" s="24">
        <v>25</v>
      </c>
      <c r="G882" s="15">
        <v>0</v>
      </c>
      <c r="H882" s="15">
        <v>1</v>
      </c>
      <c r="I882" s="8" t="s">
        <v>504</v>
      </c>
      <c r="J882" s="20">
        <v>26</v>
      </c>
      <c r="K882" s="27" t="str">
        <f t="shared" si="91"/>
        <v>Survived</v>
      </c>
      <c r="L882" s="27" t="str">
        <f t="shared" si="92"/>
        <v>Young Adult</v>
      </c>
      <c r="M882" s="28">
        <f t="shared" si="93"/>
        <v>2</v>
      </c>
      <c r="N882" s="27" t="str">
        <f t="shared" si="94"/>
        <v>Small Family</v>
      </c>
      <c r="O882" s="27" t="str">
        <f t="shared" si="95"/>
        <v>Medium Fare</v>
      </c>
      <c r="P882" s="27" t="str">
        <f t="shared" si="96"/>
        <v>Second Class</v>
      </c>
      <c r="Q882" s="27">
        <f t="shared" si="97"/>
        <v>2</v>
      </c>
    </row>
    <row r="883" spans="1:17" x14ac:dyDescent="0.3">
      <c r="A883" s="16">
        <v>882</v>
      </c>
      <c r="B883" s="16">
        <v>0</v>
      </c>
      <c r="C883" s="16">
        <v>3</v>
      </c>
      <c r="D883" s="11" t="s">
        <v>1566</v>
      </c>
      <c r="E883" s="11" t="s">
        <v>11</v>
      </c>
      <c r="F883" s="25">
        <v>33</v>
      </c>
      <c r="G883" s="16">
        <v>0</v>
      </c>
      <c r="H883" s="16">
        <v>0</v>
      </c>
      <c r="I883" s="11" t="s">
        <v>1567</v>
      </c>
      <c r="J883" s="21">
        <v>7.8958000000000004</v>
      </c>
      <c r="K883" s="27" t="str">
        <f t="shared" si="91"/>
        <v>Died</v>
      </c>
      <c r="L883" s="27" t="str">
        <f t="shared" si="92"/>
        <v>Young Adult</v>
      </c>
      <c r="M883" s="28">
        <f t="shared" si="93"/>
        <v>1</v>
      </c>
      <c r="N883" s="27" t="str">
        <f t="shared" si="94"/>
        <v>Alone</v>
      </c>
      <c r="O883" s="27" t="str">
        <f t="shared" si="95"/>
        <v>Low Fare</v>
      </c>
      <c r="P883" s="27" t="str">
        <f t="shared" si="96"/>
        <v>Third Class</v>
      </c>
      <c r="Q883" s="27">
        <f t="shared" si="97"/>
        <v>1</v>
      </c>
    </row>
    <row r="884" spans="1:17" x14ac:dyDescent="0.3">
      <c r="A884" s="15">
        <v>883</v>
      </c>
      <c r="B884" s="15">
        <v>0</v>
      </c>
      <c r="C884" s="15">
        <v>3</v>
      </c>
      <c r="D884" s="8" t="s">
        <v>1568</v>
      </c>
      <c r="E884" s="8" t="s">
        <v>14</v>
      </c>
      <c r="F884" s="24">
        <v>22</v>
      </c>
      <c r="G884" s="15">
        <v>0</v>
      </c>
      <c r="H884" s="15">
        <v>0</v>
      </c>
      <c r="I884" s="8" t="s">
        <v>1569</v>
      </c>
      <c r="J884" s="20">
        <v>10.5167</v>
      </c>
      <c r="K884" s="27" t="str">
        <f t="shared" si="91"/>
        <v>Died</v>
      </c>
      <c r="L884" s="27" t="str">
        <f t="shared" si="92"/>
        <v>Young Adult</v>
      </c>
      <c r="M884" s="28">
        <f t="shared" si="93"/>
        <v>1</v>
      </c>
      <c r="N884" s="27" t="str">
        <f t="shared" si="94"/>
        <v>Alone</v>
      </c>
      <c r="O884" s="27" t="str">
        <f t="shared" si="95"/>
        <v>Low Fare</v>
      </c>
      <c r="P884" s="27" t="str">
        <f t="shared" si="96"/>
        <v>Third Class</v>
      </c>
      <c r="Q884" s="27">
        <f t="shared" si="97"/>
        <v>2</v>
      </c>
    </row>
    <row r="885" spans="1:17" x14ac:dyDescent="0.3">
      <c r="A885" s="16">
        <v>884</v>
      </c>
      <c r="B885" s="16">
        <v>0</v>
      </c>
      <c r="C885" s="16">
        <v>2</v>
      </c>
      <c r="D885" s="11" t="s">
        <v>1570</v>
      </c>
      <c r="E885" s="11" t="s">
        <v>11</v>
      </c>
      <c r="F885" s="25">
        <v>28</v>
      </c>
      <c r="G885" s="16">
        <v>0</v>
      </c>
      <c r="H885" s="16">
        <v>0</v>
      </c>
      <c r="I885" s="11" t="s">
        <v>1571</v>
      </c>
      <c r="J885" s="21">
        <v>10.5</v>
      </c>
      <c r="K885" s="27" t="str">
        <f t="shared" si="91"/>
        <v>Died</v>
      </c>
      <c r="L885" s="27" t="str">
        <f t="shared" si="92"/>
        <v>Young Adult</v>
      </c>
      <c r="M885" s="28">
        <f t="shared" si="93"/>
        <v>1</v>
      </c>
      <c r="N885" s="27" t="str">
        <f t="shared" si="94"/>
        <v>Alone</v>
      </c>
      <c r="O885" s="27" t="str">
        <f t="shared" si="95"/>
        <v>Low Fare</v>
      </c>
      <c r="P885" s="27" t="str">
        <f t="shared" si="96"/>
        <v>Second Class</v>
      </c>
      <c r="Q885" s="27">
        <f t="shared" si="97"/>
        <v>1</v>
      </c>
    </row>
    <row r="886" spans="1:17" x14ac:dyDescent="0.3">
      <c r="A886" s="15">
        <v>885</v>
      </c>
      <c r="B886" s="15">
        <v>0</v>
      </c>
      <c r="C886" s="15">
        <v>3</v>
      </c>
      <c r="D886" s="8" t="s">
        <v>1572</v>
      </c>
      <c r="E886" s="8" t="s">
        <v>11</v>
      </c>
      <c r="F886" s="24">
        <v>25</v>
      </c>
      <c r="G886" s="15">
        <v>0</v>
      </c>
      <c r="H886" s="15">
        <v>0</v>
      </c>
      <c r="I886" s="8" t="s">
        <v>1573</v>
      </c>
      <c r="J886" s="20">
        <v>7.05</v>
      </c>
      <c r="K886" s="27" t="str">
        <f t="shared" si="91"/>
        <v>Died</v>
      </c>
      <c r="L886" s="27" t="str">
        <f t="shared" si="92"/>
        <v>Young Adult</v>
      </c>
      <c r="M886" s="28">
        <f t="shared" si="93"/>
        <v>1</v>
      </c>
      <c r="N886" s="27" t="str">
        <f t="shared" si="94"/>
        <v>Alone</v>
      </c>
      <c r="O886" s="27" t="str">
        <f t="shared" si="95"/>
        <v>Low Fare</v>
      </c>
      <c r="P886" s="27" t="str">
        <f t="shared" si="96"/>
        <v>Third Class</v>
      </c>
      <c r="Q886" s="27">
        <f t="shared" si="97"/>
        <v>1</v>
      </c>
    </row>
    <row r="887" spans="1:17" x14ac:dyDescent="0.3">
      <c r="A887" s="16">
        <v>886</v>
      </c>
      <c r="B887" s="16">
        <v>0</v>
      </c>
      <c r="C887" s="16">
        <v>3</v>
      </c>
      <c r="D887" s="11" t="s">
        <v>1574</v>
      </c>
      <c r="E887" s="11" t="s">
        <v>14</v>
      </c>
      <c r="F887" s="25">
        <v>39</v>
      </c>
      <c r="G887" s="16">
        <v>0</v>
      </c>
      <c r="H887" s="16">
        <v>5</v>
      </c>
      <c r="I887" s="11" t="s">
        <v>45</v>
      </c>
      <c r="J887" s="21">
        <v>29.125</v>
      </c>
      <c r="K887" s="27" t="str">
        <f t="shared" si="91"/>
        <v>Died</v>
      </c>
      <c r="L887" s="27" t="str">
        <f t="shared" si="92"/>
        <v>Adult</v>
      </c>
      <c r="M887" s="28">
        <f t="shared" si="93"/>
        <v>6</v>
      </c>
      <c r="N887" s="27" t="str">
        <f t="shared" si="94"/>
        <v>Large Family</v>
      </c>
      <c r="O887" s="27" t="str">
        <f t="shared" si="95"/>
        <v>Medium Fare</v>
      </c>
      <c r="P887" s="27" t="str">
        <f t="shared" si="96"/>
        <v>Third Class</v>
      </c>
      <c r="Q887" s="27">
        <f t="shared" si="97"/>
        <v>2</v>
      </c>
    </row>
    <row r="888" spans="1:17" x14ac:dyDescent="0.3">
      <c r="A888" s="15">
        <v>887</v>
      </c>
      <c r="B888" s="15">
        <v>0</v>
      </c>
      <c r="C888" s="15">
        <v>2</v>
      </c>
      <c r="D888" s="8" t="s">
        <v>1575</v>
      </c>
      <c r="E888" s="8" t="s">
        <v>11</v>
      </c>
      <c r="F888" s="24">
        <v>27</v>
      </c>
      <c r="G888" s="15">
        <v>0</v>
      </c>
      <c r="H888" s="15">
        <v>0</v>
      </c>
      <c r="I888" s="8" t="s">
        <v>1576</v>
      </c>
      <c r="J888" s="20">
        <v>13</v>
      </c>
      <c r="K888" s="27" t="str">
        <f t="shared" si="91"/>
        <v>Died</v>
      </c>
      <c r="L888" s="27" t="str">
        <f t="shared" si="92"/>
        <v>Young Adult</v>
      </c>
      <c r="M888" s="28">
        <f t="shared" si="93"/>
        <v>1</v>
      </c>
      <c r="N888" s="27" t="str">
        <f t="shared" si="94"/>
        <v>Alone</v>
      </c>
      <c r="O888" s="27" t="str">
        <f t="shared" si="95"/>
        <v>Low Fare</v>
      </c>
      <c r="P888" s="27" t="str">
        <f t="shared" si="96"/>
        <v>Second Class</v>
      </c>
      <c r="Q888" s="27">
        <f t="shared" si="97"/>
        <v>1</v>
      </c>
    </row>
    <row r="889" spans="1:17" x14ac:dyDescent="0.3">
      <c r="A889" s="16">
        <v>888</v>
      </c>
      <c r="B889" s="16">
        <v>1</v>
      </c>
      <c r="C889" s="16">
        <v>1</v>
      </c>
      <c r="D889" s="11" t="s">
        <v>1577</v>
      </c>
      <c r="E889" s="11" t="s">
        <v>14</v>
      </c>
      <c r="F889" s="25">
        <v>19</v>
      </c>
      <c r="G889" s="16">
        <v>0</v>
      </c>
      <c r="H889" s="16">
        <v>0</v>
      </c>
      <c r="I889" s="11" t="s">
        <v>1578</v>
      </c>
      <c r="J889" s="21">
        <v>30</v>
      </c>
      <c r="K889" s="27" t="str">
        <f t="shared" si="91"/>
        <v>Survived</v>
      </c>
      <c r="L889" s="27" t="str">
        <f t="shared" si="92"/>
        <v>Young Adult</v>
      </c>
      <c r="M889" s="28">
        <f t="shared" si="93"/>
        <v>1</v>
      </c>
      <c r="N889" s="27" t="str">
        <f t="shared" si="94"/>
        <v>Alone</v>
      </c>
      <c r="O889" s="27" t="str">
        <f t="shared" si="95"/>
        <v>Medium Fare</v>
      </c>
      <c r="P889" s="27" t="str">
        <f t="shared" si="96"/>
        <v>First Class</v>
      </c>
      <c r="Q889" s="27">
        <f t="shared" si="97"/>
        <v>2</v>
      </c>
    </row>
    <row r="890" spans="1:17" x14ac:dyDescent="0.3">
      <c r="A890" s="15">
        <v>889</v>
      </c>
      <c r="B890" s="15">
        <v>0</v>
      </c>
      <c r="C890" s="15">
        <v>3</v>
      </c>
      <c r="D890" s="8" t="s">
        <v>1579</v>
      </c>
      <c r="E890" s="8" t="s">
        <v>14</v>
      </c>
      <c r="F890" s="24">
        <v>26</v>
      </c>
      <c r="G890" s="15">
        <v>1</v>
      </c>
      <c r="H890" s="15">
        <v>2</v>
      </c>
      <c r="I890" s="8" t="s">
        <v>1410</v>
      </c>
      <c r="J890" s="20">
        <v>23.45</v>
      </c>
      <c r="K890" s="27" t="str">
        <f t="shared" si="91"/>
        <v>Died</v>
      </c>
      <c r="L890" s="27" t="str">
        <f t="shared" si="92"/>
        <v>Young Adult</v>
      </c>
      <c r="M890" s="28">
        <f t="shared" si="93"/>
        <v>4</v>
      </c>
      <c r="N890" s="27" t="str">
        <f t="shared" si="94"/>
        <v>Small Family</v>
      </c>
      <c r="O890" s="27" t="str">
        <f t="shared" si="95"/>
        <v>Low Fare</v>
      </c>
      <c r="P890" s="27" t="str">
        <f t="shared" si="96"/>
        <v>Third Class</v>
      </c>
      <c r="Q890" s="27">
        <f t="shared" si="97"/>
        <v>2</v>
      </c>
    </row>
    <row r="891" spans="1:17" x14ac:dyDescent="0.3">
      <c r="A891" s="16">
        <v>890</v>
      </c>
      <c r="B891" s="16">
        <v>1</v>
      </c>
      <c r="C891" s="16">
        <v>1</v>
      </c>
      <c r="D891" s="11" t="s">
        <v>1580</v>
      </c>
      <c r="E891" s="11" t="s">
        <v>11</v>
      </c>
      <c r="F891" s="25">
        <v>26</v>
      </c>
      <c r="G891" s="16">
        <v>0</v>
      </c>
      <c r="H891" s="16">
        <v>0</v>
      </c>
      <c r="I891" s="11" t="s">
        <v>1581</v>
      </c>
      <c r="J891" s="21">
        <v>30</v>
      </c>
      <c r="K891" s="27" t="str">
        <f t="shared" si="91"/>
        <v>Survived</v>
      </c>
      <c r="L891" s="27" t="str">
        <f t="shared" si="92"/>
        <v>Young Adult</v>
      </c>
      <c r="M891" s="28">
        <f t="shared" si="93"/>
        <v>1</v>
      </c>
      <c r="N891" s="27" t="str">
        <f t="shared" si="94"/>
        <v>Alone</v>
      </c>
      <c r="O891" s="27" t="str">
        <f t="shared" si="95"/>
        <v>Medium Fare</v>
      </c>
      <c r="P891" s="27" t="str">
        <f t="shared" si="96"/>
        <v>First Class</v>
      </c>
      <c r="Q891" s="27">
        <f t="shared" si="97"/>
        <v>1</v>
      </c>
    </row>
    <row r="892" spans="1:17" x14ac:dyDescent="0.3">
      <c r="A892" s="15">
        <v>891</v>
      </c>
      <c r="B892" s="15">
        <v>0</v>
      </c>
      <c r="C892" s="15">
        <v>3</v>
      </c>
      <c r="D892" s="8" t="s">
        <v>1582</v>
      </c>
      <c r="E892" s="8" t="s">
        <v>11</v>
      </c>
      <c r="F892" s="24">
        <v>32</v>
      </c>
      <c r="G892" s="15">
        <v>0</v>
      </c>
      <c r="H892" s="15">
        <v>0</v>
      </c>
      <c r="I892" s="8" t="s">
        <v>1583</v>
      </c>
      <c r="J892" s="20">
        <v>7.75</v>
      </c>
      <c r="K892" s="27" t="str">
        <f t="shared" si="91"/>
        <v>Died</v>
      </c>
      <c r="L892" s="27" t="str">
        <f t="shared" si="92"/>
        <v>Young Adult</v>
      </c>
      <c r="M892" s="28">
        <f t="shared" si="93"/>
        <v>1</v>
      </c>
      <c r="N892" s="27" t="str">
        <f t="shared" si="94"/>
        <v>Alone</v>
      </c>
      <c r="O892" s="27" t="str">
        <f t="shared" si="95"/>
        <v>Low Fare</v>
      </c>
      <c r="P892" s="27" t="str">
        <f t="shared" si="96"/>
        <v>Third Class</v>
      </c>
      <c r="Q892" s="27">
        <f t="shared" si="97"/>
        <v>1</v>
      </c>
    </row>
  </sheetData>
  <conditionalFormatting sqref="B1:B1048576">
    <cfRule type="cellIs" dxfId="2" priority="1" operator="equal">
      <formula>0</formula>
    </cfRule>
    <cfRule type="cellIs" dxfId="1" priority="2" operator="equal">
      <formula>1</formula>
    </cfRule>
  </conditionalFormatting>
  <conditionalFormatting sqref="F1:F1048576">
    <cfRule type="cellIs" dxfId="0" priority="4" operator="greaterThan">
      <formula>60</formula>
    </cfRule>
  </conditionalFormatting>
  <conditionalFormatting sqref="J1:J1048576">
    <cfRule type="dataBar" priority="3">
      <dataBar>
        <cfvo type="min"/>
        <cfvo type="max"/>
        <color rgb="FF008AEF"/>
      </dataBar>
      <extLst>
        <ext xmlns:x14="http://schemas.microsoft.com/office/spreadsheetml/2009/9/main" uri="{B025F937-C7B1-47D3-B67F-A62EFF666E3E}">
          <x14:id>{B386693A-5C22-45EB-84A9-65FD4FF43AA6}</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386693A-5C22-45EB-84A9-65FD4FF43AA6}">
            <x14:dataBar minLength="0" maxLength="100" border="1" negativeBarBorderColorSameAsPositive="0">
              <x14:cfvo type="autoMin"/>
              <x14:cfvo type="autoMax"/>
              <x14:borderColor rgb="FF008AEF"/>
              <x14:negativeFillColor rgb="FFFF0000"/>
              <x14:negativeBorderColor rgb="FFFF0000"/>
              <x14:axisColor rgb="FF000000"/>
            </x14:dataBar>
          </x14:cfRule>
          <xm:sqref>J1:J1048576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A9DD-BFF7-4B75-BE40-7660BB1F4F36}">
  <dimension ref="A1:F11"/>
  <sheetViews>
    <sheetView zoomScale="117" workbookViewId="0">
      <selection activeCell="B3" sqref="B3"/>
    </sheetView>
  </sheetViews>
  <sheetFormatPr defaultRowHeight="14.4" x14ac:dyDescent="0.3"/>
  <cols>
    <col min="1" max="1" width="16.44140625" customWidth="1"/>
    <col min="2" max="2" width="12.5546875" customWidth="1"/>
    <col min="4" max="4" width="16.77734375" customWidth="1"/>
    <col min="5" max="6" width="8.88671875" style="18"/>
  </cols>
  <sheetData>
    <row r="1" spans="1:6" x14ac:dyDescent="0.3">
      <c r="A1" s="52" t="s">
        <v>1592</v>
      </c>
      <c r="B1" s="52"/>
      <c r="D1" s="52" t="s">
        <v>1603</v>
      </c>
      <c r="E1" s="52"/>
      <c r="F1" s="52"/>
    </row>
    <row r="2" spans="1:6" x14ac:dyDescent="0.3">
      <c r="A2" t="s">
        <v>1593</v>
      </c>
      <c r="B2" t="s">
        <v>1584</v>
      </c>
      <c r="D2" t="s">
        <v>1604</v>
      </c>
      <c r="E2" s="18" t="s">
        <v>5</v>
      </c>
      <c r="F2" s="18" t="s">
        <v>9</v>
      </c>
    </row>
    <row r="3" spans="1:6" x14ac:dyDescent="0.3">
      <c r="A3" t="s">
        <v>1594</v>
      </c>
      <c r="B3">
        <f>COUNTA(CleanedData!A2:A892)</f>
        <v>891</v>
      </c>
      <c r="D3" t="s">
        <v>1605</v>
      </c>
      <c r="E3" s="18">
        <f>AVERAGE(CleanedData!F:F)</f>
        <v>28.964276094276091</v>
      </c>
      <c r="F3" s="18">
        <f>AVERAGE(CleanedData!J:J)</f>
        <v>32.2042079685746</v>
      </c>
    </row>
    <row r="4" spans="1:6" x14ac:dyDescent="0.3">
      <c r="A4" t="s">
        <v>1595</v>
      </c>
      <c r="B4">
        <f>COUNTIF(CleanedData!B:B,1)</f>
        <v>342</v>
      </c>
      <c r="D4" t="s">
        <v>1606</v>
      </c>
      <c r="E4" s="18">
        <f>MEDIAN(CleanedData!F:F)</f>
        <v>26</v>
      </c>
      <c r="F4" s="18">
        <f>MEDIAN(CleanedData!J:J)</f>
        <v>14.4542</v>
      </c>
    </row>
    <row r="5" spans="1:6" x14ac:dyDescent="0.3">
      <c r="A5" t="s">
        <v>1596</v>
      </c>
      <c r="B5">
        <f>COUNTIF(CleanedData!B:B,0)</f>
        <v>549</v>
      </c>
      <c r="D5" t="s">
        <v>1607</v>
      </c>
      <c r="E5" s="18">
        <f>MIN(CleanedData!F:F)</f>
        <v>0.42</v>
      </c>
      <c r="F5" s="18">
        <f>MIN(CleanedData!J:J)</f>
        <v>0</v>
      </c>
    </row>
    <row r="6" spans="1:6" x14ac:dyDescent="0.3">
      <c r="A6" t="s">
        <v>1597</v>
      </c>
      <c r="B6" s="29">
        <f>B4/B3</f>
        <v>0.38383838383838381</v>
      </c>
      <c r="D6" t="s">
        <v>1608</v>
      </c>
      <c r="E6" s="18">
        <f>MAX(CleanedData!F:F)</f>
        <v>80</v>
      </c>
      <c r="F6" s="18">
        <f>MAX(CleanedData!J:J)</f>
        <v>512.32920000000001</v>
      </c>
    </row>
    <row r="7" spans="1:6" x14ac:dyDescent="0.3">
      <c r="A7" t="s">
        <v>1598</v>
      </c>
      <c r="B7" s="18">
        <f>AVERAGE(CleanedData!F:F)</f>
        <v>28.964276094276091</v>
      </c>
      <c r="D7" t="s">
        <v>1609</v>
      </c>
      <c r="E7" s="18">
        <f>_xlfn.STDEV.S(CleanedData!F:F)</f>
        <v>13.085607386867332</v>
      </c>
      <c r="F7" s="18">
        <f>_xlfn.STDEV.S(CleanedData!J:J)</f>
        <v>49.693428597180919</v>
      </c>
    </row>
    <row r="8" spans="1:6" x14ac:dyDescent="0.3">
      <c r="A8" t="s">
        <v>1599</v>
      </c>
      <c r="B8" s="18">
        <f>AVERAGE(CleanedData!J:J)</f>
        <v>32.2042079685746</v>
      </c>
    </row>
    <row r="9" spans="1:6" x14ac:dyDescent="0.3">
      <c r="A9" t="s">
        <v>1600</v>
      </c>
      <c r="B9" s="18">
        <f>AVERAGE(CleanedData!M:M)</f>
        <v>1.904601571268238</v>
      </c>
    </row>
    <row r="10" spans="1:6" x14ac:dyDescent="0.3">
      <c r="A10" t="s">
        <v>1601</v>
      </c>
      <c r="B10">
        <f>COUNTIF(CleanedData!Q:Q,1)</f>
        <v>577</v>
      </c>
    </row>
    <row r="11" spans="1:6" x14ac:dyDescent="0.3">
      <c r="A11" t="s">
        <v>1602</v>
      </c>
      <c r="B11">
        <f>COUNTIF(CleanedData!Q:Q,2)</f>
        <v>314</v>
      </c>
    </row>
  </sheetData>
  <mergeCells count="2">
    <mergeCell ref="A1:B1"/>
    <mergeCell ref="D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1A698-1A00-488D-B0B6-083BC0E1FC1A}">
  <dimension ref="A3:D46"/>
  <sheetViews>
    <sheetView topLeftCell="F1" zoomScale="61" workbookViewId="0">
      <selection activeCell="W26" sqref="W26"/>
    </sheetView>
  </sheetViews>
  <sheetFormatPr defaultRowHeight="14.4" x14ac:dyDescent="0.3"/>
  <cols>
    <col min="1" max="1" width="22.5546875" bestFit="1" customWidth="1"/>
    <col min="2" max="2" width="14.88671875" bestFit="1" customWidth="1"/>
    <col min="4" max="4" width="16.88671875" customWidth="1"/>
    <col min="5" max="5" width="8.88671875" customWidth="1"/>
  </cols>
  <sheetData>
    <row r="3" spans="1:4" x14ac:dyDescent="0.3">
      <c r="A3" s="30" t="s">
        <v>1585</v>
      </c>
      <c r="B3" t="s">
        <v>1625</v>
      </c>
    </row>
    <row r="4" spans="1:4" x14ac:dyDescent="0.3">
      <c r="A4" s="31" t="s">
        <v>1610</v>
      </c>
      <c r="B4">
        <v>549</v>
      </c>
    </row>
    <row r="5" spans="1:4" x14ac:dyDescent="0.3">
      <c r="A5" s="31" t="s">
        <v>1</v>
      </c>
      <c r="B5">
        <v>342</v>
      </c>
    </row>
    <row r="6" spans="1:4" x14ac:dyDescent="0.3">
      <c r="A6" s="31" t="s">
        <v>1611</v>
      </c>
      <c r="B6">
        <v>891</v>
      </c>
    </row>
    <row r="9" spans="1:4" x14ac:dyDescent="0.3">
      <c r="A9" s="30" t="s">
        <v>1625</v>
      </c>
      <c r="B9" s="30" t="s">
        <v>1585</v>
      </c>
    </row>
    <row r="10" spans="1:4" x14ac:dyDescent="0.3">
      <c r="A10" s="30" t="s">
        <v>4</v>
      </c>
      <c r="B10" t="s">
        <v>1610</v>
      </c>
      <c r="C10" t="s">
        <v>1</v>
      </c>
      <c r="D10" t="s">
        <v>1611</v>
      </c>
    </row>
    <row r="11" spans="1:4" x14ac:dyDescent="0.3">
      <c r="A11" s="31" t="s">
        <v>14</v>
      </c>
      <c r="B11">
        <v>81</v>
      </c>
      <c r="C11">
        <v>233</v>
      </c>
      <c r="D11">
        <v>314</v>
      </c>
    </row>
    <row r="12" spans="1:4" x14ac:dyDescent="0.3">
      <c r="A12" s="31" t="s">
        <v>11</v>
      </c>
      <c r="B12">
        <v>468</v>
      </c>
      <c r="C12">
        <v>109</v>
      </c>
      <c r="D12">
        <v>577</v>
      </c>
    </row>
    <row r="13" spans="1:4" x14ac:dyDescent="0.3">
      <c r="A13" s="31" t="s">
        <v>1611</v>
      </c>
      <c r="B13">
        <v>549</v>
      </c>
      <c r="C13">
        <v>342</v>
      </c>
      <c r="D13">
        <v>891</v>
      </c>
    </row>
    <row r="16" spans="1:4" x14ac:dyDescent="0.3">
      <c r="A16" s="30" t="s">
        <v>1625</v>
      </c>
      <c r="B16" s="30" t="s">
        <v>1585</v>
      </c>
    </row>
    <row r="17" spans="1:4" x14ac:dyDescent="0.3">
      <c r="A17" s="30" t="s">
        <v>1590</v>
      </c>
      <c r="B17" t="s">
        <v>1610</v>
      </c>
      <c r="C17" t="s">
        <v>1</v>
      </c>
      <c r="D17" t="s">
        <v>1611</v>
      </c>
    </row>
    <row r="18" spans="1:4" x14ac:dyDescent="0.3">
      <c r="A18" s="31" t="s">
        <v>1619</v>
      </c>
      <c r="B18">
        <v>80</v>
      </c>
      <c r="C18">
        <v>136</v>
      </c>
      <c r="D18">
        <v>216</v>
      </c>
    </row>
    <row r="19" spans="1:4" x14ac:dyDescent="0.3">
      <c r="A19" s="31" t="s">
        <v>1622</v>
      </c>
      <c r="B19">
        <v>97</v>
      </c>
      <c r="C19">
        <v>87</v>
      </c>
      <c r="D19">
        <v>184</v>
      </c>
    </row>
    <row r="20" spans="1:4" x14ac:dyDescent="0.3">
      <c r="A20" s="31" t="s">
        <v>1615</v>
      </c>
      <c r="B20">
        <v>372</v>
      </c>
      <c r="C20">
        <v>119</v>
      </c>
      <c r="D20">
        <v>491</v>
      </c>
    </row>
    <row r="21" spans="1:4" x14ac:dyDescent="0.3">
      <c r="A21" s="31" t="s">
        <v>1611</v>
      </c>
      <c r="B21">
        <v>549</v>
      </c>
      <c r="C21">
        <v>342</v>
      </c>
      <c r="D21">
        <v>891</v>
      </c>
    </row>
    <row r="24" spans="1:4" x14ac:dyDescent="0.3">
      <c r="A24" s="30" t="s">
        <v>1625</v>
      </c>
      <c r="B24" s="30" t="s">
        <v>1585</v>
      </c>
    </row>
    <row r="25" spans="1:4" x14ac:dyDescent="0.3">
      <c r="A25" s="30" t="s">
        <v>1586</v>
      </c>
      <c r="B25" t="s">
        <v>1610</v>
      </c>
      <c r="C25" t="s">
        <v>1</v>
      </c>
      <c r="D25" t="s">
        <v>1611</v>
      </c>
    </row>
    <row r="26" spans="1:4" x14ac:dyDescent="0.3">
      <c r="A26" s="31" t="s">
        <v>1616</v>
      </c>
      <c r="B26">
        <v>122</v>
      </c>
      <c r="C26">
        <v>87</v>
      </c>
      <c r="D26">
        <v>209</v>
      </c>
    </row>
    <row r="27" spans="1:4" x14ac:dyDescent="0.3">
      <c r="A27" s="31" t="s">
        <v>1620</v>
      </c>
      <c r="B27">
        <v>52</v>
      </c>
      <c r="C27">
        <v>61</v>
      </c>
      <c r="D27">
        <v>113</v>
      </c>
    </row>
    <row r="28" spans="1:4" x14ac:dyDescent="0.3">
      <c r="A28" s="31" t="s">
        <v>1624</v>
      </c>
      <c r="B28">
        <v>19</v>
      </c>
      <c r="C28">
        <v>7</v>
      </c>
      <c r="D28">
        <v>26</v>
      </c>
    </row>
    <row r="29" spans="1:4" x14ac:dyDescent="0.3">
      <c r="A29" s="31" t="s">
        <v>1612</v>
      </c>
      <c r="B29">
        <v>356</v>
      </c>
      <c r="C29">
        <v>187</v>
      </c>
      <c r="D29">
        <v>543</v>
      </c>
    </row>
    <row r="30" spans="1:4" x14ac:dyDescent="0.3">
      <c r="A30" s="31" t="s">
        <v>1611</v>
      </c>
      <c r="B30">
        <v>549</v>
      </c>
      <c r="C30">
        <v>342</v>
      </c>
      <c r="D30">
        <v>891</v>
      </c>
    </row>
    <row r="33" spans="1:4" x14ac:dyDescent="0.3">
      <c r="A33" s="30" t="s">
        <v>1625</v>
      </c>
      <c r="B33" s="30" t="s">
        <v>1585</v>
      </c>
    </row>
    <row r="34" spans="1:4" x14ac:dyDescent="0.3">
      <c r="A34" s="30" t="s">
        <v>1588</v>
      </c>
      <c r="B34" t="s">
        <v>1610</v>
      </c>
      <c r="C34" t="s">
        <v>1</v>
      </c>
      <c r="D34" t="s">
        <v>1611</v>
      </c>
    </row>
    <row r="35" spans="1:4" x14ac:dyDescent="0.3">
      <c r="A35" s="31" t="s">
        <v>1617</v>
      </c>
      <c r="B35">
        <v>374</v>
      </c>
      <c r="C35">
        <v>163</v>
      </c>
      <c r="D35">
        <v>537</v>
      </c>
    </row>
    <row r="36" spans="1:4" x14ac:dyDescent="0.3">
      <c r="A36" s="31" t="s">
        <v>1621</v>
      </c>
      <c r="B36">
        <v>52</v>
      </c>
      <c r="C36">
        <v>10</v>
      </c>
      <c r="D36">
        <v>62</v>
      </c>
    </row>
    <row r="37" spans="1:4" x14ac:dyDescent="0.3">
      <c r="A37" s="31" t="s">
        <v>1613</v>
      </c>
      <c r="B37">
        <v>123</v>
      </c>
      <c r="C37">
        <v>169</v>
      </c>
      <c r="D37">
        <v>292</v>
      </c>
    </row>
    <row r="38" spans="1:4" x14ac:dyDescent="0.3">
      <c r="A38" s="31" t="s">
        <v>1611</v>
      </c>
      <c r="B38">
        <v>549</v>
      </c>
      <c r="C38">
        <v>342</v>
      </c>
      <c r="D38">
        <v>891</v>
      </c>
    </row>
    <row r="41" spans="1:4" x14ac:dyDescent="0.3">
      <c r="A41" s="30" t="s">
        <v>1625</v>
      </c>
      <c r="B41" s="30" t="s">
        <v>1585</v>
      </c>
    </row>
    <row r="42" spans="1:4" x14ac:dyDescent="0.3">
      <c r="A42" s="30" t="s">
        <v>1589</v>
      </c>
      <c r="B42" t="s">
        <v>1610</v>
      </c>
      <c r="C42" t="s">
        <v>1</v>
      </c>
      <c r="D42" t="s">
        <v>1611</v>
      </c>
    </row>
    <row r="43" spans="1:4" x14ac:dyDescent="0.3">
      <c r="A43" s="31" t="s">
        <v>1623</v>
      </c>
      <c r="B43">
        <v>14</v>
      </c>
      <c r="C43">
        <v>39</v>
      </c>
      <c r="D43">
        <v>53</v>
      </c>
    </row>
    <row r="44" spans="1:4" x14ac:dyDescent="0.3">
      <c r="A44" s="31" t="s">
        <v>1614</v>
      </c>
      <c r="B44">
        <v>397</v>
      </c>
      <c r="C44">
        <v>160</v>
      </c>
      <c r="D44">
        <v>557</v>
      </c>
    </row>
    <row r="45" spans="1:4" x14ac:dyDescent="0.3">
      <c r="A45" s="31" t="s">
        <v>1618</v>
      </c>
      <c r="B45">
        <v>138</v>
      </c>
      <c r="C45">
        <v>143</v>
      </c>
      <c r="D45">
        <v>281</v>
      </c>
    </row>
    <row r="46" spans="1:4" x14ac:dyDescent="0.3">
      <c r="A46" s="31" t="s">
        <v>1611</v>
      </c>
      <c r="B46">
        <v>549</v>
      </c>
      <c r="C46">
        <v>342</v>
      </c>
      <c r="D46">
        <v>891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7464F-5171-4059-A1AD-578A8FE63ED2}">
  <sheetPr>
    <pageSetUpPr fitToPage="1"/>
  </sheetPr>
  <dimension ref="A1:S35"/>
  <sheetViews>
    <sheetView showGridLines="0" tabSelected="1" zoomScale="83" zoomScaleNormal="38" workbookViewId="0">
      <selection activeCell="V18" sqref="V18"/>
    </sheetView>
  </sheetViews>
  <sheetFormatPr defaultRowHeight="14.4" x14ac:dyDescent="0.3"/>
  <cols>
    <col min="1" max="1" width="0.88671875" style="34" customWidth="1"/>
  </cols>
  <sheetData>
    <row r="1" spans="2:19" ht="33" customHeight="1" x14ac:dyDescent="0.3">
      <c r="B1" s="32" t="s">
        <v>1626</v>
      </c>
      <c r="C1" s="33"/>
      <c r="D1" s="33"/>
      <c r="E1" s="33"/>
      <c r="F1" s="33"/>
      <c r="G1" s="33"/>
      <c r="H1" s="33"/>
      <c r="I1" s="33"/>
      <c r="J1" s="33"/>
      <c r="K1" s="33"/>
      <c r="L1" s="33"/>
      <c r="M1" s="33"/>
      <c r="N1" s="33"/>
      <c r="O1" s="33"/>
      <c r="P1" s="33"/>
      <c r="Q1" s="33"/>
      <c r="R1" s="33"/>
      <c r="S1" s="33"/>
    </row>
    <row r="2" spans="2:19" ht="33" customHeight="1" x14ac:dyDescent="0.3">
      <c r="B2" s="33"/>
      <c r="C2" s="33"/>
      <c r="D2" s="33"/>
      <c r="E2" s="33"/>
      <c r="F2" s="33"/>
      <c r="G2" s="33"/>
      <c r="H2" s="33"/>
      <c r="I2" s="33"/>
      <c r="J2" s="33"/>
      <c r="K2" s="33"/>
      <c r="L2" s="33"/>
      <c r="M2" s="33"/>
      <c r="N2" s="33"/>
      <c r="O2" s="33"/>
      <c r="P2" s="33"/>
      <c r="Q2" s="33"/>
      <c r="R2" s="33"/>
      <c r="S2" s="33"/>
    </row>
    <row r="3" spans="2:19" x14ac:dyDescent="0.3">
      <c r="B3" s="53">
        <f>Statistics!B3</f>
        <v>891</v>
      </c>
      <c r="C3" s="53"/>
      <c r="D3" s="53"/>
      <c r="E3" s="55">
        <f>Statistics!B4</f>
        <v>342</v>
      </c>
      <c r="F3" s="55"/>
      <c r="G3" s="55"/>
      <c r="H3" s="57">
        <f>Statistics!B5</f>
        <v>549</v>
      </c>
      <c r="I3" s="57"/>
      <c r="J3" s="57"/>
      <c r="K3" s="59">
        <f>Statistics!B6</f>
        <v>0.38383838383838381</v>
      </c>
      <c r="L3" s="60"/>
      <c r="M3" s="60"/>
      <c r="N3" s="62">
        <f>Statistics!B7</f>
        <v>28.964276094276091</v>
      </c>
      <c r="O3" s="63"/>
      <c r="P3" s="63"/>
      <c r="Q3" s="65">
        <f>Statistics!B8</f>
        <v>32.2042079685746</v>
      </c>
      <c r="R3" s="66"/>
      <c r="S3" s="66"/>
    </row>
    <row r="4" spans="2:19" ht="14.4" customHeight="1" x14ac:dyDescent="0.3">
      <c r="B4" s="53"/>
      <c r="C4" s="53"/>
      <c r="D4" s="53"/>
      <c r="E4" s="55"/>
      <c r="F4" s="55"/>
      <c r="G4" s="55"/>
      <c r="H4" s="57"/>
      <c r="I4" s="57"/>
      <c r="J4" s="57"/>
      <c r="K4" s="60"/>
      <c r="L4" s="60"/>
      <c r="M4" s="60"/>
      <c r="N4" s="63"/>
      <c r="O4" s="63"/>
      <c r="P4" s="63"/>
      <c r="Q4" s="66"/>
      <c r="R4" s="66"/>
      <c r="S4" s="66"/>
    </row>
    <row r="5" spans="2:19" ht="14.4" customHeight="1" x14ac:dyDescent="0.3">
      <c r="B5" s="54"/>
      <c r="C5" s="54"/>
      <c r="D5" s="54"/>
      <c r="E5" s="56"/>
      <c r="F5" s="56"/>
      <c r="G5" s="56"/>
      <c r="H5" s="58"/>
      <c r="I5" s="58"/>
      <c r="J5" s="58"/>
      <c r="K5" s="61"/>
      <c r="L5" s="61"/>
      <c r="M5" s="61"/>
      <c r="N5" s="64"/>
      <c r="O5" s="64"/>
      <c r="P5" s="64"/>
      <c r="Q5" s="67"/>
      <c r="R5" s="67"/>
      <c r="S5" s="67"/>
    </row>
    <row r="6" spans="2:19" ht="18" x14ac:dyDescent="0.35">
      <c r="B6" s="35" t="s">
        <v>1594</v>
      </c>
      <c r="C6" s="36"/>
      <c r="D6" s="37"/>
      <c r="E6" s="38" t="s">
        <v>1595</v>
      </c>
      <c r="F6" s="41"/>
      <c r="G6" s="42"/>
      <c r="H6" s="43" t="s">
        <v>1596</v>
      </c>
      <c r="I6" s="44"/>
      <c r="J6" s="45"/>
      <c r="K6" s="46" t="s">
        <v>1597</v>
      </c>
      <c r="L6" s="47"/>
      <c r="M6" s="48"/>
      <c r="N6" s="49" t="s">
        <v>1598</v>
      </c>
      <c r="O6" s="50"/>
      <c r="P6" s="51"/>
      <c r="Q6" s="38" t="s">
        <v>1599</v>
      </c>
      <c r="R6" s="39"/>
      <c r="S6" s="40"/>
    </row>
    <row r="7" spans="2:19" ht="1.05" customHeight="1" x14ac:dyDescent="0.3"/>
    <row r="21" ht="1.05" customHeight="1" x14ac:dyDescent="0.3"/>
    <row r="35" ht="1.05" customHeight="1" x14ac:dyDescent="0.3"/>
  </sheetData>
  <mergeCells count="14">
    <mergeCell ref="K3:M5"/>
    <mergeCell ref="N3:P5"/>
    <mergeCell ref="B1:S2"/>
    <mergeCell ref="Q3:S5"/>
    <mergeCell ref="A1:A1048576"/>
    <mergeCell ref="B3:D5"/>
    <mergeCell ref="B6:D6"/>
    <mergeCell ref="E3:G5"/>
    <mergeCell ref="H3:J5"/>
    <mergeCell ref="Q6:S6"/>
    <mergeCell ref="E6:G6"/>
    <mergeCell ref="H6:J6"/>
    <mergeCell ref="K6:M6"/>
    <mergeCell ref="N6:P6"/>
  </mergeCells>
  <pageMargins left="0.23622047244094491" right="0.23622047244094491" top="0.74803149606299213" bottom="0.74803149606299213" header="0.31496062992125984" footer="0.31496062992125984"/>
  <pageSetup paperSize="9" scale="79" orientation="landscape" horizontalDpi="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EDC6E7-2E8B-4212-B2AA-5C746363C0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CleanedData</vt:lpstr>
      <vt:lpstr>Statistics</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Rodini Vince Rosario</dc:creator>
  <cp:lastModifiedBy>Rodini Vince Rosario</cp:lastModifiedBy>
  <cp:lastPrinted>2026-07-09T13:02:16Z</cp:lastPrinted>
  <dcterms:created xsi:type="dcterms:W3CDTF">2026-07-09T05:07:44Z</dcterms:created>
  <dcterms:modified xsi:type="dcterms:W3CDTF">2026-07-09T13:08:29Z</dcterms:modified>
</cp:coreProperties>
</file>